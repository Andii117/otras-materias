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sJara\Desktop\UNIVERSIDAD\sexto semestre\Metodos numericos\curvas de regresion\"/>
    </mc:Choice>
  </mc:AlternateContent>
  <bookViews>
    <workbookView xWindow="0" yWindow="0" windowWidth="20490" windowHeight="7755"/>
  </bookViews>
  <sheets>
    <sheet name="Grado 1" sheetId="1" r:id="rId1"/>
    <sheet name="Grado 2" sheetId="2" r:id="rId2"/>
    <sheet name="Grado 3" sheetId="3" r:id="rId3"/>
    <sheet name="Grado 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6" i="2" l="1"/>
  <c r="J115" i="2"/>
  <c r="K108" i="2"/>
  <c r="K109" i="2"/>
  <c r="K110" i="2"/>
  <c r="K111" i="2"/>
  <c r="K113" i="2" s="1"/>
  <c r="K112" i="2"/>
  <c r="K107" i="2"/>
  <c r="J108" i="2"/>
  <c r="J109" i="2"/>
  <c r="J110" i="2"/>
  <c r="J111" i="2"/>
  <c r="J113" i="2" s="1"/>
  <c r="J112" i="2"/>
  <c r="J107" i="2"/>
  <c r="G120" i="2" a="1"/>
  <c r="G120" i="2" s="1"/>
  <c r="G122" i="2"/>
  <c r="B120" i="2" a="1"/>
  <c r="B120" i="2" s="1"/>
  <c r="D120" i="2"/>
  <c r="B121" i="2"/>
  <c r="B122" i="2"/>
  <c r="C122" i="2"/>
  <c r="G117" i="2"/>
  <c r="G116" i="2"/>
  <c r="G115" i="2"/>
  <c r="C117" i="2"/>
  <c r="D117" i="2"/>
  <c r="B117" i="2"/>
  <c r="D116" i="2"/>
  <c r="C116" i="2"/>
  <c r="B116" i="2"/>
  <c r="D115" i="2"/>
  <c r="C115" i="2"/>
  <c r="B115" i="2"/>
  <c r="H108" i="2"/>
  <c r="I108" i="2"/>
  <c r="H109" i="2"/>
  <c r="I109" i="2"/>
  <c r="I113" i="2" s="1"/>
  <c r="H110" i="2"/>
  <c r="I110" i="2"/>
  <c r="H111" i="2"/>
  <c r="I111" i="2"/>
  <c r="H112" i="2"/>
  <c r="I112" i="2"/>
  <c r="I107" i="2"/>
  <c r="H107" i="2"/>
  <c r="H113" i="2"/>
  <c r="D113" i="2"/>
  <c r="B113" i="2"/>
  <c r="G112" i="2"/>
  <c r="F112" i="2"/>
  <c r="C112" i="2"/>
  <c r="E112" i="2" s="1"/>
  <c r="G111" i="2"/>
  <c r="F111" i="2"/>
  <c r="C111" i="2"/>
  <c r="E111" i="2" s="1"/>
  <c r="G110" i="2"/>
  <c r="F110" i="2"/>
  <c r="C110" i="2"/>
  <c r="E110" i="2" s="1"/>
  <c r="G109" i="2"/>
  <c r="F109" i="2"/>
  <c r="C109" i="2"/>
  <c r="E109" i="2" s="1"/>
  <c r="G108" i="2"/>
  <c r="F108" i="2"/>
  <c r="C108" i="2"/>
  <c r="E108" i="2" s="1"/>
  <c r="G107" i="2"/>
  <c r="G113" i="2" s="1"/>
  <c r="F107" i="2"/>
  <c r="F113" i="2" s="1"/>
  <c r="C107" i="2"/>
  <c r="C113" i="2" s="1"/>
  <c r="K123" i="3"/>
  <c r="K122" i="3"/>
  <c r="N115" i="3"/>
  <c r="N116" i="3"/>
  <c r="N117" i="3"/>
  <c r="N118" i="3"/>
  <c r="N119" i="3"/>
  <c r="N114" i="3"/>
  <c r="M120" i="3"/>
  <c r="N120" i="3"/>
  <c r="M115" i="3"/>
  <c r="M116" i="3"/>
  <c r="M117" i="3"/>
  <c r="M118" i="3"/>
  <c r="M119" i="3"/>
  <c r="M114" i="3"/>
  <c r="H127" i="3" a="1"/>
  <c r="H127" i="3" s="1"/>
  <c r="H129" i="3"/>
  <c r="H130" i="3"/>
  <c r="B127" i="3" a="1"/>
  <c r="B127" i="3" s="1"/>
  <c r="E127" i="3"/>
  <c r="E128" i="3"/>
  <c r="E129" i="3"/>
  <c r="E130" i="3"/>
  <c r="B122" i="3"/>
  <c r="I139" i="4"/>
  <c r="I138" i="4"/>
  <c r="I137" i="4"/>
  <c r="I136" i="4"/>
  <c r="I135" i="4"/>
  <c r="D120" i="3"/>
  <c r="H122" i="3" s="1"/>
  <c r="B120" i="3"/>
  <c r="C119" i="3"/>
  <c r="G119" i="3" s="1"/>
  <c r="C118" i="3"/>
  <c r="I118" i="3" s="1"/>
  <c r="C117" i="3"/>
  <c r="G117" i="3" s="1"/>
  <c r="C116" i="3"/>
  <c r="I116" i="3" s="1"/>
  <c r="C115" i="3"/>
  <c r="G115" i="3" s="1"/>
  <c r="C114" i="3"/>
  <c r="J114" i="3" s="1"/>
  <c r="J88" i="2"/>
  <c r="J87" i="2"/>
  <c r="L84" i="2"/>
  <c r="L79" i="2"/>
  <c r="L80" i="2"/>
  <c r="L81" i="2"/>
  <c r="L82" i="2"/>
  <c r="L83" i="2"/>
  <c r="L78" i="2"/>
  <c r="K84" i="2"/>
  <c r="K79" i="2"/>
  <c r="K80" i="2"/>
  <c r="K81" i="2"/>
  <c r="K82" i="2"/>
  <c r="K83" i="2"/>
  <c r="K78" i="2"/>
  <c r="G91" i="2" a="1"/>
  <c r="G91" i="2" s="1"/>
  <c r="G93" i="2"/>
  <c r="B91" i="2" a="1"/>
  <c r="B91" i="2" s="1"/>
  <c r="D91" i="2"/>
  <c r="B92" i="2"/>
  <c r="B93" i="2"/>
  <c r="C93" i="2"/>
  <c r="G89" i="2"/>
  <c r="G88" i="2"/>
  <c r="G87" i="2"/>
  <c r="D89" i="2"/>
  <c r="C89" i="2"/>
  <c r="B89" i="2"/>
  <c r="D88" i="2"/>
  <c r="C88" i="2"/>
  <c r="B88" i="2"/>
  <c r="D87" i="2"/>
  <c r="C87" i="2"/>
  <c r="B87" i="2"/>
  <c r="G84" i="2"/>
  <c r="H84" i="2"/>
  <c r="I84" i="2"/>
  <c r="J84" i="2"/>
  <c r="G79" i="2"/>
  <c r="H79" i="2"/>
  <c r="I79" i="2"/>
  <c r="J79" i="2"/>
  <c r="G80" i="2"/>
  <c r="H80" i="2"/>
  <c r="I80" i="2"/>
  <c r="J80" i="2"/>
  <c r="G81" i="2"/>
  <c r="H81" i="2"/>
  <c r="I81" i="2"/>
  <c r="J81" i="2"/>
  <c r="G82" i="2"/>
  <c r="H82" i="2"/>
  <c r="I82" i="2"/>
  <c r="J82" i="2"/>
  <c r="G83" i="2"/>
  <c r="H83" i="2"/>
  <c r="I83" i="2"/>
  <c r="J83" i="2"/>
  <c r="J78" i="2"/>
  <c r="I78" i="2"/>
  <c r="H78" i="2"/>
  <c r="G78" i="2"/>
  <c r="L100" i="4"/>
  <c r="L99" i="4"/>
  <c r="L66" i="4"/>
  <c r="L65" i="4"/>
  <c r="B91" i="3"/>
  <c r="I83" i="3"/>
  <c r="I84" i="3"/>
  <c r="I85" i="3"/>
  <c r="I86" i="3"/>
  <c r="I87" i="3"/>
  <c r="I82" i="3"/>
  <c r="C84" i="2"/>
  <c r="B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F84" i="2" s="1"/>
  <c r="E78" i="2"/>
  <c r="E84" i="2" s="1"/>
  <c r="D78" i="2"/>
  <c r="D84" i="2" s="1"/>
  <c r="C88" i="3"/>
  <c r="H91" i="3" s="1"/>
  <c r="B88" i="3"/>
  <c r="C91" i="3" s="1"/>
  <c r="H87" i="3"/>
  <c r="G87" i="3"/>
  <c r="F87" i="3"/>
  <c r="L87" i="3" s="1"/>
  <c r="E87" i="3"/>
  <c r="K87" i="3" s="1"/>
  <c r="D87" i="3"/>
  <c r="J87" i="3" s="1"/>
  <c r="H86" i="3"/>
  <c r="G86" i="3"/>
  <c r="F86" i="3"/>
  <c r="L86" i="3" s="1"/>
  <c r="E86" i="3"/>
  <c r="K86" i="3" s="1"/>
  <c r="D86" i="3"/>
  <c r="J86" i="3" s="1"/>
  <c r="H85" i="3"/>
  <c r="G85" i="3"/>
  <c r="F85" i="3"/>
  <c r="L85" i="3" s="1"/>
  <c r="E85" i="3"/>
  <c r="K85" i="3" s="1"/>
  <c r="D85" i="3"/>
  <c r="J85" i="3" s="1"/>
  <c r="H84" i="3"/>
  <c r="G84" i="3"/>
  <c r="F84" i="3"/>
  <c r="L84" i="3" s="1"/>
  <c r="E84" i="3"/>
  <c r="K84" i="3" s="1"/>
  <c r="D84" i="3"/>
  <c r="J84" i="3" s="1"/>
  <c r="H83" i="3"/>
  <c r="G83" i="3"/>
  <c r="F83" i="3"/>
  <c r="L83" i="3" s="1"/>
  <c r="E83" i="3"/>
  <c r="K83" i="3" s="1"/>
  <c r="D83" i="3"/>
  <c r="J83" i="3" s="1"/>
  <c r="H82" i="3"/>
  <c r="G82" i="3"/>
  <c r="F82" i="3"/>
  <c r="E82" i="3"/>
  <c r="D82" i="3"/>
  <c r="J82" i="3" s="1"/>
  <c r="J59" i="2"/>
  <c r="J58" i="2"/>
  <c r="J54" i="2"/>
  <c r="J46" i="2"/>
  <c r="J47" i="2"/>
  <c r="J48" i="2"/>
  <c r="J49" i="2"/>
  <c r="J50" i="2"/>
  <c r="J51" i="2"/>
  <c r="J52" i="2"/>
  <c r="J53" i="2"/>
  <c r="J45" i="2"/>
  <c r="I54" i="2"/>
  <c r="I46" i="2"/>
  <c r="I47" i="2"/>
  <c r="I48" i="2"/>
  <c r="I49" i="2"/>
  <c r="I50" i="2"/>
  <c r="I51" i="2"/>
  <c r="I52" i="2"/>
  <c r="I53" i="2"/>
  <c r="I45" i="2"/>
  <c r="G62" i="2" a="1"/>
  <c r="G62" i="2" s="1"/>
  <c r="B62" i="2" a="1"/>
  <c r="B62" i="2" s="1"/>
  <c r="G54" i="2"/>
  <c r="H5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H45" i="2"/>
  <c r="G45" i="2"/>
  <c r="G60" i="2"/>
  <c r="G59" i="2"/>
  <c r="G58" i="2"/>
  <c r="D60" i="2"/>
  <c r="C60" i="2"/>
  <c r="B60" i="2"/>
  <c r="D59" i="2"/>
  <c r="C59" i="2"/>
  <c r="B59" i="2"/>
  <c r="D58" i="2"/>
  <c r="C58" i="2"/>
  <c r="B58" i="2"/>
  <c r="C60" i="3"/>
  <c r="B61" i="3" s="1"/>
  <c r="B60" i="3"/>
  <c r="I69" i="4"/>
  <c r="I68" i="4"/>
  <c r="I67" i="4"/>
  <c r="I66" i="4"/>
  <c r="I49" i="3"/>
  <c r="I50" i="3"/>
  <c r="I51" i="3"/>
  <c r="I52" i="3"/>
  <c r="I53" i="3"/>
  <c r="I54" i="3"/>
  <c r="I55" i="3"/>
  <c r="I56" i="3"/>
  <c r="I48" i="3"/>
  <c r="C54" i="2"/>
  <c r="B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F54" i="2" s="1"/>
  <c r="E45" i="2"/>
  <c r="E54" i="2" s="1"/>
  <c r="D45" i="2"/>
  <c r="D54" i="2" s="1"/>
  <c r="C57" i="3"/>
  <c r="H60" i="3" s="1"/>
  <c r="B57" i="3"/>
  <c r="H56" i="3"/>
  <c r="G56" i="3"/>
  <c r="F56" i="3"/>
  <c r="E56" i="3"/>
  <c r="K56" i="3" s="1"/>
  <c r="D56" i="3"/>
  <c r="J56" i="3" s="1"/>
  <c r="H55" i="3"/>
  <c r="G55" i="3"/>
  <c r="F55" i="3"/>
  <c r="E55" i="3"/>
  <c r="K55" i="3" s="1"/>
  <c r="D55" i="3"/>
  <c r="J55" i="3" s="1"/>
  <c r="H54" i="3"/>
  <c r="G54" i="3"/>
  <c r="F54" i="3"/>
  <c r="E54" i="3"/>
  <c r="K54" i="3" s="1"/>
  <c r="D54" i="3"/>
  <c r="J54" i="3" s="1"/>
  <c r="H53" i="3"/>
  <c r="G53" i="3"/>
  <c r="F53" i="3"/>
  <c r="E53" i="3"/>
  <c r="K53" i="3" s="1"/>
  <c r="D53" i="3"/>
  <c r="J53" i="3" s="1"/>
  <c r="H52" i="3"/>
  <c r="G52" i="3"/>
  <c r="F52" i="3"/>
  <c r="E52" i="3"/>
  <c r="K52" i="3" s="1"/>
  <c r="D52" i="3"/>
  <c r="J52" i="3" s="1"/>
  <c r="H51" i="3"/>
  <c r="G51" i="3"/>
  <c r="F51" i="3"/>
  <c r="E51" i="3"/>
  <c r="K51" i="3" s="1"/>
  <c r="D51" i="3"/>
  <c r="J51" i="3" s="1"/>
  <c r="H50" i="3"/>
  <c r="G50" i="3"/>
  <c r="F50" i="3"/>
  <c r="E50" i="3"/>
  <c r="K50" i="3" s="1"/>
  <c r="D50" i="3"/>
  <c r="J50" i="3" s="1"/>
  <c r="H49" i="3"/>
  <c r="G49" i="3"/>
  <c r="F49" i="3"/>
  <c r="E49" i="3"/>
  <c r="K49" i="3" s="1"/>
  <c r="D49" i="3"/>
  <c r="J49" i="3" s="1"/>
  <c r="H48" i="3"/>
  <c r="G48" i="3"/>
  <c r="F48" i="3"/>
  <c r="E48" i="3"/>
  <c r="D48" i="3"/>
  <c r="J27" i="2"/>
  <c r="J26" i="2"/>
  <c r="L13" i="2"/>
  <c r="L14" i="2"/>
  <c r="L15" i="2"/>
  <c r="L16" i="2"/>
  <c r="L23" i="2" s="1"/>
  <c r="L17" i="2"/>
  <c r="L18" i="2"/>
  <c r="L19" i="2"/>
  <c r="L20" i="2"/>
  <c r="L21" i="2"/>
  <c r="L22" i="2"/>
  <c r="L12" i="2"/>
  <c r="G28" i="2"/>
  <c r="G27" i="2"/>
  <c r="G26" i="2"/>
  <c r="G30" i="2" a="1"/>
  <c r="G30" i="2" s="1"/>
  <c r="B30" i="2" a="1"/>
  <c r="B30" i="2" s="1"/>
  <c r="H13" i="2"/>
  <c r="I13" i="2"/>
  <c r="J13" i="2"/>
  <c r="J23" i="2" s="1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J12" i="2"/>
  <c r="I12" i="2"/>
  <c r="I23" i="2" s="1"/>
  <c r="H12" i="2"/>
  <c r="B27" i="2"/>
  <c r="C26" i="2"/>
  <c r="B26" i="2"/>
  <c r="G13" i="2"/>
  <c r="G14" i="2"/>
  <c r="G15" i="2"/>
  <c r="G16" i="2"/>
  <c r="G23" i="2" s="1"/>
  <c r="G17" i="2"/>
  <c r="G18" i="2"/>
  <c r="G19" i="2"/>
  <c r="G20" i="2"/>
  <c r="G21" i="2"/>
  <c r="G22" i="2"/>
  <c r="F13" i="2"/>
  <c r="F14" i="2"/>
  <c r="F15" i="2"/>
  <c r="F16" i="2"/>
  <c r="F23" i="2" s="1"/>
  <c r="D28" i="2" s="1"/>
  <c r="F17" i="2"/>
  <c r="F18" i="2"/>
  <c r="F19" i="2"/>
  <c r="F20" i="2"/>
  <c r="F21" i="2"/>
  <c r="F22" i="2"/>
  <c r="E13" i="2"/>
  <c r="E14" i="2"/>
  <c r="E15" i="2"/>
  <c r="E16" i="2"/>
  <c r="E23" i="2" s="1"/>
  <c r="D27" i="2" s="1"/>
  <c r="C28" i="2" s="1"/>
  <c r="E17" i="2"/>
  <c r="E18" i="2"/>
  <c r="E19" i="2"/>
  <c r="E20" i="2"/>
  <c r="E21" i="2"/>
  <c r="E22" i="2"/>
  <c r="D13" i="2"/>
  <c r="D14" i="2"/>
  <c r="D15" i="2"/>
  <c r="D16" i="2"/>
  <c r="D17" i="2"/>
  <c r="D18" i="2"/>
  <c r="D19" i="2"/>
  <c r="D20" i="2"/>
  <c r="D21" i="2"/>
  <c r="D22" i="2"/>
  <c r="C23" i="2"/>
  <c r="D23" i="2"/>
  <c r="D26" i="2" s="1"/>
  <c r="C27" i="2" s="1"/>
  <c r="B28" i="2" s="1"/>
  <c r="B23" i="2"/>
  <c r="G12" i="2"/>
  <c r="F12" i="2"/>
  <c r="E12" i="2"/>
  <c r="D12" i="2"/>
  <c r="I13" i="3"/>
  <c r="I14" i="3"/>
  <c r="I15" i="3"/>
  <c r="I16" i="3"/>
  <c r="I17" i="3"/>
  <c r="I18" i="3"/>
  <c r="I19" i="3"/>
  <c r="I20" i="3"/>
  <c r="I21" i="3"/>
  <c r="I22" i="3"/>
  <c r="I12" i="3"/>
  <c r="H13" i="3"/>
  <c r="H14" i="3"/>
  <c r="H15" i="3"/>
  <c r="H16" i="3"/>
  <c r="H17" i="3"/>
  <c r="H18" i="3"/>
  <c r="H19" i="3"/>
  <c r="H20" i="3"/>
  <c r="H21" i="3"/>
  <c r="H22" i="3"/>
  <c r="G13" i="3"/>
  <c r="G14" i="3"/>
  <c r="G15" i="3"/>
  <c r="G16" i="3"/>
  <c r="G17" i="3"/>
  <c r="G18" i="3"/>
  <c r="G19" i="3"/>
  <c r="G20" i="3"/>
  <c r="G21" i="3"/>
  <c r="G22" i="3"/>
  <c r="F13" i="3"/>
  <c r="L13" i="3" s="1"/>
  <c r="F14" i="3"/>
  <c r="L14" i="3" s="1"/>
  <c r="F15" i="3"/>
  <c r="L15" i="3" s="1"/>
  <c r="F16" i="3"/>
  <c r="L16" i="3" s="1"/>
  <c r="F17" i="3"/>
  <c r="L17" i="3" s="1"/>
  <c r="F18" i="3"/>
  <c r="L18" i="3" s="1"/>
  <c r="F19" i="3"/>
  <c r="L19" i="3" s="1"/>
  <c r="F20" i="3"/>
  <c r="L20" i="3" s="1"/>
  <c r="F21" i="3"/>
  <c r="L21" i="3" s="1"/>
  <c r="F22" i="3"/>
  <c r="L22" i="3" s="1"/>
  <c r="E13" i="3"/>
  <c r="K13" i="3" s="1"/>
  <c r="E14" i="3"/>
  <c r="K14" i="3" s="1"/>
  <c r="E15" i="3"/>
  <c r="K15" i="3" s="1"/>
  <c r="E16" i="3"/>
  <c r="K16" i="3" s="1"/>
  <c r="E17" i="3"/>
  <c r="K17" i="3" s="1"/>
  <c r="E18" i="3"/>
  <c r="K18" i="3" s="1"/>
  <c r="E19" i="3"/>
  <c r="K19" i="3" s="1"/>
  <c r="E20" i="3"/>
  <c r="K20" i="3" s="1"/>
  <c r="E21" i="3"/>
  <c r="K21" i="3" s="1"/>
  <c r="E22" i="3"/>
  <c r="K22" i="3" s="1"/>
  <c r="D13" i="3"/>
  <c r="J13" i="3" s="1"/>
  <c r="D14" i="3"/>
  <c r="J14" i="3" s="1"/>
  <c r="D15" i="3"/>
  <c r="J15" i="3" s="1"/>
  <c r="D16" i="3"/>
  <c r="D17" i="3"/>
  <c r="J17" i="3" s="1"/>
  <c r="D18" i="3"/>
  <c r="J18" i="3" s="1"/>
  <c r="D19" i="3"/>
  <c r="J19" i="3" s="1"/>
  <c r="D20" i="3"/>
  <c r="J20" i="3" s="1"/>
  <c r="D21" i="3"/>
  <c r="J21" i="3" s="1"/>
  <c r="D22" i="3"/>
  <c r="J22" i="3" s="1"/>
  <c r="H12" i="3"/>
  <c r="G12" i="3"/>
  <c r="F12" i="3"/>
  <c r="E12" i="3"/>
  <c r="D12" i="3"/>
  <c r="J12" i="3" s="1"/>
  <c r="B27" i="3"/>
  <c r="C23" i="3"/>
  <c r="H27" i="3" s="1"/>
  <c r="B23" i="3"/>
  <c r="C27" i="3" s="1"/>
  <c r="B28" i="3" s="1"/>
  <c r="G121" i="2" l="1"/>
  <c r="D121" i="2"/>
  <c r="C120" i="2"/>
  <c r="D122" i="2"/>
  <c r="C121" i="2"/>
  <c r="E107" i="2"/>
  <c r="E113" i="2" s="1"/>
  <c r="H128" i="3"/>
  <c r="D130" i="3"/>
  <c r="D129" i="3"/>
  <c r="D127" i="3"/>
  <c r="C130" i="3"/>
  <c r="C129" i="3"/>
  <c r="C128" i="3"/>
  <c r="C127" i="3"/>
  <c r="D128" i="3"/>
  <c r="B130" i="3"/>
  <c r="B129" i="3"/>
  <c r="B128" i="3"/>
  <c r="G116" i="3"/>
  <c r="G118" i="3"/>
  <c r="G23" i="3"/>
  <c r="E29" i="3" s="1"/>
  <c r="D30" i="3" s="1"/>
  <c r="D23" i="3"/>
  <c r="D27" i="3" s="1"/>
  <c r="C28" i="3" s="1"/>
  <c r="B29" i="3" s="1"/>
  <c r="F88" i="3"/>
  <c r="E92" i="3" s="1"/>
  <c r="D93" i="3" s="1"/>
  <c r="C94" i="3" s="1"/>
  <c r="G114" i="3"/>
  <c r="J118" i="3"/>
  <c r="J117" i="3"/>
  <c r="G57" i="3"/>
  <c r="E62" i="3" s="1"/>
  <c r="D63" i="3" s="1"/>
  <c r="I88" i="3"/>
  <c r="B92" i="3"/>
  <c r="J88" i="3"/>
  <c r="H92" i="3" s="1"/>
  <c r="D57" i="3"/>
  <c r="D60" i="3" s="1"/>
  <c r="C61" i="3" s="1"/>
  <c r="B62" i="3" s="1"/>
  <c r="L82" i="3"/>
  <c r="L88" i="3" s="1"/>
  <c r="H94" i="3" s="1"/>
  <c r="J16" i="3"/>
  <c r="J23" i="3" s="1"/>
  <c r="H57" i="3"/>
  <c r="E63" i="3" s="1"/>
  <c r="E23" i="3"/>
  <c r="E27" i="3" s="1"/>
  <c r="D28" i="3" s="1"/>
  <c r="C29" i="3" s="1"/>
  <c r="B30" i="3" s="1"/>
  <c r="E57" i="3"/>
  <c r="E60" i="3" s="1"/>
  <c r="D61" i="3" s="1"/>
  <c r="C62" i="3" s="1"/>
  <c r="B63" i="3" s="1"/>
  <c r="J48" i="3"/>
  <c r="J57" i="3" s="1"/>
  <c r="H62" i="3" s="1"/>
  <c r="D88" i="3"/>
  <c r="D91" i="3" s="1"/>
  <c r="C92" i="3" s="1"/>
  <c r="B93" i="3" s="1"/>
  <c r="H88" i="3"/>
  <c r="E94" i="3" s="1"/>
  <c r="C120" i="3"/>
  <c r="C122" i="3" s="1"/>
  <c r="B123" i="3" s="1"/>
  <c r="J119" i="3"/>
  <c r="J115" i="3"/>
  <c r="G88" i="3"/>
  <c r="E93" i="3" s="1"/>
  <c r="D94" i="3" s="1"/>
  <c r="K12" i="3"/>
  <c r="K23" i="3" s="1"/>
  <c r="H29" i="3" s="1"/>
  <c r="F23" i="3"/>
  <c r="E28" i="3" s="1"/>
  <c r="D29" i="3" s="1"/>
  <c r="C30" i="3" s="1"/>
  <c r="L12" i="3"/>
  <c r="L23" i="3" s="1"/>
  <c r="H30" i="3" s="1"/>
  <c r="F57" i="3"/>
  <c r="E61" i="3" s="1"/>
  <c r="D62" i="3" s="1"/>
  <c r="C63" i="3" s="1"/>
  <c r="K48" i="3"/>
  <c r="K57" i="3" s="1"/>
  <c r="H63" i="3" s="1"/>
  <c r="E88" i="3"/>
  <c r="E91" i="3" s="1"/>
  <c r="D92" i="3" s="1"/>
  <c r="C93" i="3" s="1"/>
  <c r="B94" i="3" s="1"/>
  <c r="K82" i="3"/>
  <c r="K88" i="3" s="1"/>
  <c r="H93" i="3" s="1"/>
  <c r="F114" i="3"/>
  <c r="L114" i="3" s="1"/>
  <c r="F116" i="3"/>
  <c r="L116" i="3" s="1"/>
  <c r="F118" i="3"/>
  <c r="L118" i="3" s="1"/>
  <c r="J116" i="3"/>
  <c r="H115" i="3"/>
  <c r="H119" i="3"/>
  <c r="E115" i="3"/>
  <c r="K115" i="3" s="1"/>
  <c r="I115" i="3"/>
  <c r="E117" i="3"/>
  <c r="K117" i="3" s="1"/>
  <c r="I117" i="3"/>
  <c r="H114" i="3"/>
  <c r="F115" i="3"/>
  <c r="H116" i="3"/>
  <c r="F117" i="3"/>
  <c r="L117" i="3" s="1"/>
  <c r="H118" i="3"/>
  <c r="F119" i="3"/>
  <c r="L119" i="3" s="1"/>
  <c r="H117" i="3"/>
  <c r="E119" i="3"/>
  <c r="K119" i="3" s="1"/>
  <c r="I119" i="3"/>
  <c r="E114" i="3"/>
  <c r="K114" i="3" s="1"/>
  <c r="I114" i="3"/>
  <c r="E116" i="3"/>
  <c r="K116" i="3" s="1"/>
  <c r="E118" i="3"/>
  <c r="K118" i="3" s="1"/>
  <c r="G92" i="2"/>
  <c r="D92" i="2"/>
  <c r="C91" i="2"/>
  <c r="D93" i="2"/>
  <c r="C92" i="2"/>
  <c r="G64" i="2"/>
  <c r="G63" i="2"/>
  <c r="B64" i="2"/>
  <c r="D62" i="2"/>
  <c r="C64" i="2"/>
  <c r="D63" i="2"/>
  <c r="C62" i="2"/>
  <c r="B63" i="2"/>
  <c r="D64" i="2"/>
  <c r="C63" i="2"/>
  <c r="I57" i="3"/>
  <c r="H61" i="3" s="1"/>
  <c r="G32" i="2"/>
  <c r="K21" i="2" s="1"/>
  <c r="G31" i="2"/>
  <c r="K16" i="2" s="1"/>
  <c r="C32" i="2"/>
  <c r="D30" i="2"/>
  <c r="D31" i="2"/>
  <c r="C30" i="2"/>
  <c r="B31" i="2"/>
  <c r="B32" i="2"/>
  <c r="D32" i="2"/>
  <c r="C31" i="2"/>
  <c r="H23" i="2"/>
  <c r="H23" i="3"/>
  <c r="E30" i="3" s="1"/>
  <c r="I23" i="3"/>
  <c r="H28" i="3" s="1"/>
  <c r="I142" i="4" a="1"/>
  <c r="I142" i="4" s="1"/>
  <c r="B142" i="4" a="1"/>
  <c r="B142" i="4" s="1"/>
  <c r="E139" i="4"/>
  <c r="D139" i="4"/>
  <c r="C139" i="4"/>
  <c r="B139" i="4"/>
  <c r="E138" i="4"/>
  <c r="D138" i="4"/>
  <c r="C138" i="4"/>
  <c r="B138" i="4"/>
  <c r="E137" i="4"/>
  <c r="D137" i="4"/>
  <c r="C137" i="4"/>
  <c r="B137" i="4"/>
  <c r="F139" i="4"/>
  <c r="F138" i="4"/>
  <c r="F137" i="4"/>
  <c r="F136" i="4"/>
  <c r="E136" i="4"/>
  <c r="D136" i="4"/>
  <c r="C136" i="4"/>
  <c r="B136" i="4"/>
  <c r="F135" i="4"/>
  <c r="E135" i="4"/>
  <c r="D135" i="4"/>
  <c r="C135" i="4"/>
  <c r="B135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E130" i="4"/>
  <c r="F130" i="4"/>
  <c r="G130" i="4"/>
  <c r="H130" i="4"/>
  <c r="P130" i="4" s="1"/>
  <c r="P132" i="4" s="1"/>
  <c r="I130" i="4"/>
  <c r="J130" i="4"/>
  <c r="K130" i="4"/>
  <c r="L130" i="4"/>
  <c r="M130" i="4"/>
  <c r="N130" i="4"/>
  <c r="O130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P126" i="4"/>
  <c r="O126" i="4"/>
  <c r="N126" i="4"/>
  <c r="M126" i="4"/>
  <c r="L126" i="4"/>
  <c r="K126" i="4"/>
  <c r="J126" i="4"/>
  <c r="I126" i="4"/>
  <c r="H126" i="4"/>
  <c r="G126" i="4"/>
  <c r="G132" i="4" s="1"/>
  <c r="F126" i="4"/>
  <c r="F132" i="4" s="1"/>
  <c r="E126" i="4"/>
  <c r="C132" i="4"/>
  <c r="D132" i="4"/>
  <c r="E132" i="4"/>
  <c r="H132" i="4"/>
  <c r="I132" i="4"/>
  <c r="J132" i="4"/>
  <c r="K132" i="4"/>
  <c r="L132" i="4"/>
  <c r="M132" i="4"/>
  <c r="N132" i="4"/>
  <c r="O132" i="4"/>
  <c r="C127" i="4"/>
  <c r="C128" i="4"/>
  <c r="C129" i="4"/>
  <c r="C130" i="4"/>
  <c r="C131" i="4"/>
  <c r="C126" i="4"/>
  <c r="B132" i="4"/>
  <c r="Q91" i="4"/>
  <c r="Q92" i="4"/>
  <c r="Q93" i="4"/>
  <c r="Q94" i="4"/>
  <c r="Q95" i="4"/>
  <c r="Q90" i="4"/>
  <c r="P91" i="4"/>
  <c r="P92" i="4"/>
  <c r="P93" i="4"/>
  <c r="P94" i="4"/>
  <c r="P95" i="4"/>
  <c r="P90" i="4"/>
  <c r="I106" i="4" a="1"/>
  <c r="I106" i="4" s="1"/>
  <c r="B106" i="4" a="1"/>
  <c r="B106" i="4" s="1"/>
  <c r="I103" i="4"/>
  <c r="I102" i="4"/>
  <c r="I101" i="4"/>
  <c r="I100" i="4"/>
  <c r="I99" i="4"/>
  <c r="F103" i="4"/>
  <c r="E103" i="4"/>
  <c r="D103" i="4"/>
  <c r="C103" i="4"/>
  <c r="B103" i="4"/>
  <c r="F102" i="4"/>
  <c r="E102" i="4"/>
  <c r="D102" i="4"/>
  <c r="C102" i="4"/>
  <c r="B102" i="4"/>
  <c r="F101" i="4"/>
  <c r="E101" i="4"/>
  <c r="D101" i="4"/>
  <c r="C101" i="4"/>
  <c r="B101" i="4"/>
  <c r="F100" i="4"/>
  <c r="E100" i="4"/>
  <c r="D100" i="4"/>
  <c r="C100" i="4"/>
  <c r="B100" i="4"/>
  <c r="F99" i="4"/>
  <c r="E99" i="4"/>
  <c r="D99" i="4"/>
  <c r="C99" i="4"/>
  <c r="B99" i="4"/>
  <c r="D91" i="4"/>
  <c r="E91" i="4"/>
  <c r="F91" i="4"/>
  <c r="G91" i="4"/>
  <c r="G96" i="4" s="1"/>
  <c r="H91" i="4"/>
  <c r="I91" i="4"/>
  <c r="J91" i="4"/>
  <c r="K91" i="4"/>
  <c r="L91" i="4"/>
  <c r="M91" i="4"/>
  <c r="N91" i="4"/>
  <c r="O91" i="4"/>
  <c r="D92" i="4"/>
  <c r="E92" i="4"/>
  <c r="F92" i="4"/>
  <c r="G92" i="4"/>
  <c r="H92" i="4"/>
  <c r="I92" i="4"/>
  <c r="J92" i="4"/>
  <c r="K92" i="4"/>
  <c r="L92" i="4"/>
  <c r="M92" i="4"/>
  <c r="N92" i="4"/>
  <c r="O92" i="4"/>
  <c r="D93" i="4"/>
  <c r="E93" i="4"/>
  <c r="F93" i="4"/>
  <c r="G93" i="4"/>
  <c r="H93" i="4"/>
  <c r="I93" i="4"/>
  <c r="J93" i="4"/>
  <c r="K93" i="4"/>
  <c r="L93" i="4"/>
  <c r="M93" i="4"/>
  <c r="N93" i="4"/>
  <c r="O93" i="4"/>
  <c r="D94" i="4"/>
  <c r="E94" i="4"/>
  <c r="F94" i="4"/>
  <c r="G94" i="4"/>
  <c r="O94" i="4" s="1"/>
  <c r="H94" i="4"/>
  <c r="I94" i="4"/>
  <c r="J94" i="4"/>
  <c r="K94" i="4"/>
  <c r="L94" i="4"/>
  <c r="M94" i="4"/>
  <c r="N94" i="4"/>
  <c r="D95" i="4"/>
  <c r="E95" i="4"/>
  <c r="F95" i="4"/>
  <c r="G95" i="4"/>
  <c r="H95" i="4"/>
  <c r="I95" i="4"/>
  <c r="J95" i="4"/>
  <c r="K95" i="4"/>
  <c r="L95" i="4"/>
  <c r="M95" i="4"/>
  <c r="N95" i="4"/>
  <c r="O95" i="4"/>
  <c r="O90" i="4"/>
  <c r="N90" i="4"/>
  <c r="M90" i="4"/>
  <c r="L90" i="4"/>
  <c r="K90" i="4"/>
  <c r="J90" i="4"/>
  <c r="J96" i="4" s="1"/>
  <c r="I90" i="4"/>
  <c r="H90" i="4"/>
  <c r="H96" i="4" s="1"/>
  <c r="G90" i="4"/>
  <c r="F90" i="4"/>
  <c r="E90" i="4"/>
  <c r="E96" i="4" s="1"/>
  <c r="D90" i="4"/>
  <c r="Q96" i="4"/>
  <c r="C96" i="4"/>
  <c r="D96" i="4"/>
  <c r="F96" i="4"/>
  <c r="I96" i="4"/>
  <c r="L96" i="4"/>
  <c r="M96" i="4"/>
  <c r="N96" i="4"/>
  <c r="B96" i="4"/>
  <c r="I72" i="4" a="1"/>
  <c r="I72" i="4" s="1"/>
  <c r="B72" i="4" a="1"/>
  <c r="B72" i="4" s="1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I65" i="4"/>
  <c r="F65" i="4"/>
  <c r="E65" i="4"/>
  <c r="D65" i="4"/>
  <c r="C65" i="4"/>
  <c r="B65" i="4"/>
  <c r="F54" i="4"/>
  <c r="G54" i="4"/>
  <c r="H54" i="4"/>
  <c r="I54" i="4"/>
  <c r="J54" i="4"/>
  <c r="K54" i="4"/>
  <c r="L54" i="4"/>
  <c r="M54" i="4"/>
  <c r="N54" i="4"/>
  <c r="O54" i="4"/>
  <c r="F55" i="4"/>
  <c r="G55" i="4"/>
  <c r="H55" i="4"/>
  <c r="I55" i="4"/>
  <c r="J55" i="4"/>
  <c r="J62" i="4" s="1"/>
  <c r="K55" i="4"/>
  <c r="L55" i="4"/>
  <c r="M55" i="4"/>
  <c r="N55" i="4"/>
  <c r="N62" i="4" s="1"/>
  <c r="O55" i="4"/>
  <c r="O62" i="4" s="1"/>
  <c r="F56" i="4"/>
  <c r="G56" i="4"/>
  <c r="H56" i="4"/>
  <c r="I56" i="4"/>
  <c r="J56" i="4"/>
  <c r="K56" i="4"/>
  <c r="L56" i="4"/>
  <c r="M56" i="4"/>
  <c r="N56" i="4"/>
  <c r="O56" i="4"/>
  <c r="F57" i="4"/>
  <c r="G57" i="4"/>
  <c r="H57" i="4"/>
  <c r="I57" i="4"/>
  <c r="J57" i="4"/>
  <c r="K57" i="4"/>
  <c r="L57" i="4"/>
  <c r="M57" i="4"/>
  <c r="N57" i="4"/>
  <c r="O57" i="4"/>
  <c r="F58" i="4"/>
  <c r="G58" i="4"/>
  <c r="H58" i="4"/>
  <c r="I58" i="4"/>
  <c r="J58" i="4"/>
  <c r="K58" i="4"/>
  <c r="L58" i="4"/>
  <c r="M58" i="4"/>
  <c r="N58" i="4"/>
  <c r="O58" i="4"/>
  <c r="F59" i="4"/>
  <c r="G59" i="4"/>
  <c r="H59" i="4"/>
  <c r="I59" i="4"/>
  <c r="J59" i="4"/>
  <c r="K59" i="4"/>
  <c r="L59" i="4"/>
  <c r="M59" i="4"/>
  <c r="N59" i="4"/>
  <c r="O59" i="4"/>
  <c r="F60" i="4"/>
  <c r="G60" i="4"/>
  <c r="H60" i="4"/>
  <c r="I60" i="4"/>
  <c r="J60" i="4"/>
  <c r="K60" i="4"/>
  <c r="L60" i="4"/>
  <c r="M60" i="4"/>
  <c r="N60" i="4"/>
  <c r="O60" i="4"/>
  <c r="F61" i="4"/>
  <c r="G61" i="4"/>
  <c r="H61" i="4"/>
  <c r="I61" i="4"/>
  <c r="J61" i="4"/>
  <c r="K61" i="4"/>
  <c r="L61" i="4"/>
  <c r="M61" i="4"/>
  <c r="N61" i="4"/>
  <c r="O61" i="4"/>
  <c r="E54" i="4"/>
  <c r="E55" i="4"/>
  <c r="E56" i="4"/>
  <c r="E57" i="4"/>
  <c r="E58" i="4"/>
  <c r="E59" i="4"/>
  <c r="E60" i="4"/>
  <c r="E61" i="4"/>
  <c r="O53" i="4"/>
  <c r="N53" i="4"/>
  <c r="M53" i="4"/>
  <c r="L53" i="4"/>
  <c r="K53" i="4"/>
  <c r="J53" i="4"/>
  <c r="I53" i="4"/>
  <c r="H53" i="4"/>
  <c r="H62" i="4" s="1"/>
  <c r="G53" i="4"/>
  <c r="F53" i="4"/>
  <c r="E53" i="4"/>
  <c r="D54" i="4"/>
  <c r="D55" i="4"/>
  <c r="D56" i="4"/>
  <c r="D57" i="4"/>
  <c r="D58" i="4"/>
  <c r="D59" i="4"/>
  <c r="D60" i="4"/>
  <c r="D61" i="4"/>
  <c r="D62" i="4" s="1"/>
  <c r="D53" i="4"/>
  <c r="C62" i="4"/>
  <c r="L62" i="4"/>
  <c r="M62" i="4"/>
  <c r="B62" i="4"/>
  <c r="G120" i="3" l="1"/>
  <c r="E123" i="3" s="1"/>
  <c r="D124" i="3" s="1"/>
  <c r="C125" i="3" s="1"/>
  <c r="J120" i="3"/>
  <c r="H123" i="3" s="1"/>
  <c r="K120" i="3"/>
  <c r="H124" i="3" s="1"/>
  <c r="F120" i="3"/>
  <c r="E122" i="3" s="1"/>
  <c r="D123" i="3" s="1"/>
  <c r="C124" i="3" s="1"/>
  <c r="B125" i="3" s="1"/>
  <c r="L115" i="3"/>
  <c r="L120" i="3" s="1"/>
  <c r="H125" i="3" s="1"/>
  <c r="B96" i="3" a="1"/>
  <c r="H120" i="3"/>
  <c r="E124" i="3" s="1"/>
  <c r="D125" i="3" s="1"/>
  <c r="B32" i="3" a="1"/>
  <c r="B65" i="3" a="1"/>
  <c r="I145" i="4"/>
  <c r="I120" i="3"/>
  <c r="E125" i="3" s="1"/>
  <c r="E120" i="3"/>
  <c r="D122" i="3" s="1"/>
  <c r="C123" i="3" s="1"/>
  <c r="B124" i="3" s="1"/>
  <c r="K18" i="2"/>
  <c r="K20" i="2"/>
  <c r="K19" i="2"/>
  <c r="K22" i="2"/>
  <c r="K13" i="2"/>
  <c r="K12" i="2"/>
  <c r="K15" i="2"/>
  <c r="K17" i="2"/>
  <c r="K14" i="2"/>
  <c r="I144" i="4"/>
  <c r="I143" i="4"/>
  <c r="I146" i="4"/>
  <c r="E146" i="4"/>
  <c r="F145" i="4"/>
  <c r="B145" i="4"/>
  <c r="C144" i="4"/>
  <c r="E142" i="4"/>
  <c r="D146" i="4"/>
  <c r="E145" i="4"/>
  <c r="F144" i="4"/>
  <c r="B144" i="4"/>
  <c r="D142" i="4"/>
  <c r="C146" i="4"/>
  <c r="D145" i="4"/>
  <c r="E144" i="4"/>
  <c r="F143" i="4"/>
  <c r="B143" i="4"/>
  <c r="C142" i="4"/>
  <c r="D143" i="4"/>
  <c r="C143" i="4"/>
  <c r="F146" i="4"/>
  <c r="B146" i="4"/>
  <c r="C145" i="4"/>
  <c r="D144" i="4"/>
  <c r="E143" i="4"/>
  <c r="F142" i="4"/>
  <c r="P96" i="4"/>
  <c r="I109" i="4"/>
  <c r="I108" i="4"/>
  <c r="I107" i="4"/>
  <c r="I110" i="4"/>
  <c r="E110" i="4"/>
  <c r="F109" i="4"/>
  <c r="B109" i="4"/>
  <c r="C108" i="4"/>
  <c r="E106" i="4"/>
  <c r="D110" i="4"/>
  <c r="E109" i="4"/>
  <c r="F108" i="4"/>
  <c r="B108" i="4"/>
  <c r="D106" i="4"/>
  <c r="C110" i="4"/>
  <c r="D109" i="4"/>
  <c r="E108" i="4"/>
  <c r="F107" i="4"/>
  <c r="B107" i="4"/>
  <c r="C106" i="4"/>
  <c r="D107" i="4"/>
  <c r="C107" i="4"/>
  <c r="F110" i="4"/>
  <c r="B110" i="4"/>
  <c r="C109" i="4"/>
  <c r="D108" i="4"/>
  <c r="E107" i="4"/>
  <c r="F106" i="4"/>
  <c r="O96" i="4"/>
  <c r="K96" i="4"/>
  <c r="I74" i="4"/>
  <c r="I75" i="4"/>
  <c r="I73" i="4"/>
  <c r="I76" i="4"/>
  <c r="E76" i="4"/>
  <c r="B75" i="4"/>
  <c r="C74" i="4"/>
  <c r="E72" i="4"/>
  <c r="D76" i="4"/>
  <c r="E75" i="4"/>
  <c r="F74" i="4"/>
  <c r="B74" i="4"/>
  <c r="C73" i="4"/>
  <c r="D72" i="4"/>
  <c r="C72" i="4"/>
  <c r="F75" i="4"/>
  <c r="D73" i="4"/>
  <c r="C76" i="4"/>
  <c r="D75" i="4"/>
  <c r="E74" i="4"/>
  <c r="F73" i="4"/>
  <c r="B73" i="4"/>
  <c r="F76" i="4"/>
  <c r="B76" i="4"/>
  <c r="C75" i="4"/>
  <c r="D74" i="4"/>
  <c r="E73" i="4"/>
  <c r="F72" i="4"/>
  <c r="F62" i="4"/>
  <c r="I62" i="4"/>
  <c r="G62" i="4"/>
  <c r="K62" i="4"/>
  <c r="E62" i="4"/>
  <c r="L27" i="4"/>
  <c r="B65" i="3" l="1"/>
  <c r="D66" i="3"/>
  <c r="C67" i="3"/>
  <c r="E67" i="3"/>
  <c r="B66" i="3"/>
  <c r="E65" i="3"/>
  <c r="C65" i="3"/>
  <c r="B68" i="3"/>
  <c r="C68" i="3"/>
  <c r="D65" i="3"/>
  <c r="C66" i="3"/>
  <c r="E66" i="3"/>
  <c r="D68" i="3"/>
  <c r="D67" i="3"/>
  <c r="E68" i="3"/>
  <c r="B67" i="3"/>
  <c r="B32" i="3"/>
  <c r="E34" i="3"/>
  <c r="C35" i="3"/>
  <c r="E35" i="3"/>
  <c r="B35" i="3"/>
  <c r="D35" i="3"/>
  <c r="D34" i="3"/>
  <c r="D33" i="3"/>
  <c r="E32" i="3"/>
  <c r="C34" i="3"/>
  <c r="E33" i="3"/>
  <c r="B34" i="3"/>
  <c r="C33" i="3"/>
  <c r="B33" i="3"/>
  <c r="D32" i="3"/>
  <c r="C32" i="3"/>
  <c r="C96" i="3"/>
  <c r="B97" i="3"/>
  <c r="B99" i="3"/>
  <c r="B98" i="3"/>
  <c r="B96" i="3"/>
  <c r="E99" i="3"/>
  <c r="D99" i="3"/>
  <c r="C99" i="3"/>
  <c r="E97" i="3"/>
  <c r="D97" i="3"/>
  <c r="C97" i="3"/>
  <c r="E98" i="3"/>
  <c r="D98" i="3"/>
  <c r="C98" i="3"/>
  <c r="E96" i="3"/>
  <c r="D96" i="3"/>
  <c r="Q130" i="4"/>
  <c r="R130" i="4" s="1"/>
  <c r="Q127" i="4"/>
  <c r="R127" i="4" s="1"/>
  <c r="Q126" i="4"/>
  <c r="Q129" i="4"/>
  <c r="R129" i="4" s="1"/>
  <c r="Q131" i="4"/>
  <c r="R131" i="4" s="1"/>
  <c r="Q128" i="4"/>
  <c r="R128" i="4" s="1"/>
  <c r="P55" i="4"/>
  <c r="Q55" i="4" s="1"/>
  <c r="P56" i="4"/>
  <c r="Q56" i="4" s="1"/>
  <c r="P57" i="4"/>
  <c r="Q57" i="4" s="1"/>
  <c r="P60" i="4"/>
  <c r="Q60" i="4" s="1"/>
  <c r="P61" i="4"/>
  <c r="P58" i="4"/>
  <c r="Q58" i="4" s="1"/>
  <c r="P54" i="4"/>
  <c r="Q54" i="4" s="1"/>
  <c r="P59" i="4"/>
  <c r="Q59" i="4" s="1"/>
  <c r="P53" i="4"/>
  <c r="Q53" i="4" s="1"/>
  <c r="K23" i="2"/>
  <c r="B26" i="4"/>
  <c r="L22" i="4"/>
  <c r="K13" i="4"/>
  <c r="K14" i="4"/>
  <c r="K15" i="4"/>
  <c r="K16" i="4"/>
  <c r="K17" i="4"/>
  <c r="K18" i="4"/>
  <c r="K19" i="4"/>
  <c r="K20" i="4"/>
  <c r="K21" i="4"/>
  <c r="K22" i="4"/>
  <c r="K12" i="4"/>
  <c r="J13" i="4"/>
  <c r="J14" i="4"/>
  <c r="J15" i="4"/>
  <c r="J16" i="4"/>
  <c r="J17" i="4"/>
  <c r="J18" i="4"/>
  <c r="J19" i="4"/>
  <c r="J20" i="4"/>
  <c r="J21" i="4"/>
  <c r="J22" i="4"/>
  <c r="J12" i="4"/>
  <c r="I13" i="4"/>
  <c r="I14" i="4"/>
  <c r="I15" i="4"/>
  <c r="I16" i="4"/>
  <c r="I17" i="4"/>
  <c r="I18" i="4"/>
  <c r="I19" i="4"/>
  <c r="I20" i="4"/>
  <c r="I21" i="4"/>
  <c r="I22" i="4"/>
  <c r="I12" i="4"/>
  <c r="H13" i="4"/>
  <c r="H14" i="4"/>
  <c r="H15" i="4"/>
  <c r="H16" i="4"/>
  <c r="H17" i="4"/>
  <c r="H18" i="4"/>
  <c r="H19" i="4"/>
  <c r="H20" i="4"/>
  <c r="H21" i="4"/>
  <c r="H22" i="4"/>
  <c r="H12" i="4"/>
  <c r="G13" i="4"/>
  <c r="O13" i="4" s="1"/>
  <c r="G14" i="4"/>
  <c r="O14" i="4" s="1"/>
  <c r="G15" i="4"/>
  <c r="O15" i="4" s="1"/>
  <c r="G16" i="4"/>
  <c r="O16" i="4" s="1"/>
  <c r="G17" i="4"/>
  <c r="O17" i="4" s="1"/>
  <c r="G18" i="4"/>
  <c r="O18" i="4" s="1"/>
  <c r="G19" i="4"/>
  <c r="O19" i="4" s="1"/>
  <c r="G20" i="4"/>
  <c r="O20" i="4" s="1"/>
  <c r="G21" i="4"/>
  <c r="O21" i="4" s="1"/>
  <c r="G22" i="4"/>
  <c r="O22" i="4" s="1"/>
  <c r="G12" i="4"/>
  <c r="O12" i="4" s="1"/>
  <c r="F13" i="4"/>
  <c r="N13" i="4" s="1"/>
  <c r="F14" i="4"/>
  <c r="N14" i="4" s="1"/>
  <c r="F15" i="4"/>
  <c r="N15" i="4" s="1"/>
  <c r="F16" i="4"/>
  <c r="N16" i="4" s="1"/>
  <c r="F17" i="4"/>
  <c r="N17" i="4" s="1"/>
  <c r="F18" i="4"/>
  <c r="N18" i="4" s="1"/>
  <c r="F19" i="4"/>
  <c r="N19" i="4" s="1"/>
  <c r="F20" i="4"/>
  <c r="N20" i="4" s="1"/>
  <c r="F21" i="4"/>
  <c r="N21" i="4" s="1"/>
  <c r="F22" i="4"/>
  <c r="N22" i="4" s="1"/>
  <c r="F12" i="4"/>
  <c r="N12" i="4" s="1"/>
  <c r="E13" i="4"/>
  <c r="M13" i="4" s="1"/>
  <c r="E14" i="4"/>
  <c r="M14" i="4" s="1"/>
  <c r="E15" i="4"/>
  <c r="M15" i="4" s="1"/>
  <c r="E16" i="4"/>
  <c r="M16" i="4" s="1"/>
  <c r="E17" i="4"/>
  <c r="M17" i="4" s="1"/>
  <c r="E18" i="4"/>
  <c r="M18" i="4" s="1"/>
  <c r="E19" i="4"/>
  <c r="M19" i="4" s="1"/>
  <c r="E20" i="4"/>
  <c r="M20" i="4" s="1"/>
  <c r="E21" i="4"/>
  <c r="M21" i="4" s="1"/>
  <c r="E22" i="4"/>
  <c r="M22" i="4" s="1"/>
  <c r="E12" i="4"/>
  <c r="C23" i="4"/>
  <c r="I26" i="4" s="1"/>
  <c r="B23" i="4"/>
  <c r="C26" i="4" s="1"/>
  <c r="B27" i="4" s="1"/>
  <c r="D13" i="4"/>
  <c r="L13" i="4" s="1"/>
  <c r="D14" i="4"/>
  <c r="L14" i="4" s="1"/>
  <c r="D15" i="4"/>
  <c r="L15" i="4" s="1"/>
  <c r="D16" i="4"/>
  <c r="L16" i="4" s="1"/>
  <c r="D17" i="4"/>
  <c r="L17" i="4" s="1"/>
  <c r="D18" i="4"/>
  <c r="L18" i="4" s="1"/>
  <c r="D19" i="4"/>
  <c r="L19" i="4" s="1"/>
  <c r="D20" i="4"/>
  <c r="L20" i="4" s="1"/>
  <c r="D21" i="4"/>
  <c r="L21" i="4" s="1"/>
  <c r="D22" i="4"/>
  <c r="D12" i="4"/>
  <c r="H96" i="3" l="1" a="1"/>
  <c r="H32" i="3" a="1"/>
  <c r="H65" i="3" a="1"/>
  <c r="R126" i="4"/>
  <c r="R132" i="4" s="1"/>
  <c r="L135" i="4" s="1"/>
  <c r="L136" i="4" s="1"/>
  <c r="Q132" i="4"/>
  <c r="P62" i="4"/>
  <c r="Q61" i="4"/>
  <c r="Q62" i="4" s="1"/>
  <c r="O23" i="4"/>
  <c r="I30" i="4" s="1"/>
  <c r="D23" i="4"/>
  <c r="D26" i="4" s="1"/>
  <c r="C27" i="4" s="1"/>
  <c r="B28" i="4" s="1"/>
  <c r="E23" i="4"/>
  <c r="E26" i="4" s="1"/>
  <c r="D27" i="4" s="1"/>
  <c r="C28" i="4" s="1"/>
  <c r="B29" i="4" s="1"/>
  <c r="M12" i="4"/>
  <c r="M23" i="4" s="1"/>
  <c r="I28" i="4" s="1"/>
  <c r="K23" i="4"/>
  <c r="L12" i="4"/>
  <c r="L23" i="4" s="1"/>
  <c r="I27" i="4" s="1"/>
  <c r="N23" i="4"/>
  <c r="I29" i="4" s="1"/>
  <c r="J23" i="4"/>
  <c r="F30" i="4" s="1"/>
  <c r="I23" i="4"/>
  <c r="F29" i="4" s="1"/>
  <c r="E30" i="4" s="1"/>
  <c r="H23" i="4"/>
  <c r="F28" i="4" s="1"/>
  <c r="E29" i="4" s="1"/>
  <c r="D30" i="4" s="1"/>
  <c r="G23" i="4"/>
  <c r="F27" i="4" s="1"/>
  <c r="E28" i="4" s="1"/>
  <c r="D29" i="4" s="1"/>
  <c r="C30" i="4" s="1"/>
  <c r="F23" i="4"/>
  <c r="F26" i="4" s="1"/>
  <c r="E27" i="4" s="1"/>
  <c r="D28" i="4" s="1"/>
  <c r="C29" i="4" s="1"/>
  <c r="B30" i="4" s="1"/>
  <c r="C184" i="1"/>
  <c r="D184" i="1"/>
  <c r="E184" i="1"/>
  <c r="F184" i="1"/>
  <c r="G184" i="1"/>
  <c r="B184" i="1"/>
  <c r="F152" i="1"/>
  <c r="F153" i="1"/>
  <c r="F154" i="1"/>
  <c r="F155" i="1"/>
  <c r="G155" i="1" s="1"/>
  <c r="F156" i="1"/>
  <c r="F151" i="1"/>
  <c r="G151" i="1" s="1"/>
  <c r="G152" i="1"/>
  <c r="G154" i="1"/>
  <c r="G156" i="1"/>
  <c r="G153" i="1"/>
  <c r="B159" i="1"/>
  <c r="E157" i="1"/>
  <c r="F160" i="1" s="1"/>
  <c r="D157" i="1"/>
  <c r="C160" i="1" s="1"/>
  <c r="C157" i="1"/>
  <c r="F159" i="1" s="1"/>
  <c r="B157" i="1"/>
  <c r="B160" i="1" s="1"/>
  <c r="E152" i="1"/>
  <c r="E153" i="1"/>
  <c r="E154" i="1"/>
  <c r="E155" i="1"/>
  <c r="E156" i="1"/>
  <c r="E151" i="1"/>
  <c r="D152" i="1"/>
  <c r="D153" i="1"/>
  <c r="D154" i="1"/>
  <c r="D155" i="1"/>
  <c r="D156" i="1"/>
  <c r="D151" i="1"/>
  <c r="E106" i="1"/>
  <c r="E107" i="1"/>
  <c r="E108" i="1"/>
  <c r="E109" i="1"/>
  <c r="E110" i="1"/>
  <c r="E105" i="1"/>
  <c r="D106" i="1"/>
  <c r="D107" i="1"/>
  <c r="D108" i="1"/>
  <c r="D109" i="1"/>
  <c r="D110" i="1"/>
  <c r="D105" i="1"/>
  <c r="B113" i="1"/>
  <c r="C111" i="1"/>
  <c r="F113" i="1" s="1"/>
  <c r="B111" i="1"/>
  <c r="C113" i="1" s="1"/>
  <c r="B67" i="1"/>
  <c r="E57" i="1"/>
  <c r="E58" i="1"/>
  <c r="E59" i="1"/>
  <c r="E60" i="1"/>
  <c r="E61" i="1"/>
  <c r="E62" i="1"/>
  <c r="E63" i="1"/>
  <c r="E64" i="1"/>
  <c r="E56" i="1"/>
  <c r="D57" i="1"/>
  <c r="D58" i="1"/>
  <c r="D59" i="1"/>
  <c r="D60" i="1"/>
  <c r="D61" i="1"/>
  <c r="D62" i="1"/>
  <c r="D63" i="1"/>
  <c r="D64" i="1"/>
  <c r="D56" i="1"/>
  <c r="C65" i="1"/>
  <c r="F67" i="1" s="1"/>
  <c r="B65" i="1"/>
  <c r="B68" i="1" s="1"/>
  <c r="H32" i="3" l="1"/>
  <c r="H33" i="3"/>
  <c r="H35" i="3"/>
  <c r="H34" i="3"/>
  <c r="H65" i="3"/>
  <c r="H68" i="3"/>
  <c r="H67" i="3"/>
  <c r="H66" i="3"/>
  <c r="H96" i="3"/>
  <c r="H98" i="3"/>
  <c r="H99" i="3"/>
  <c r="H97" i="3"/>
  <c r="B33" i="4" a="1"/>
  <c r="F157" i="1"/>
  <c r="G157" i="1"/>
  <c r="B166" i="1" s="1"/>
  <c r="B167" i="1" s="1"/>
  <c r="B163" i="1" a="1"/>
  <c r="C159" i="1"/>
  <c r="D65" i="1"/>
  <c r="C68" i="1" s="1"/>
  <c r="D111" i="1"/>
  <c r="C114" i="1" s="1"/>
  <c r="E111" i="1"/>
  <c r="F114" i="1" s="1"/>
  <c r="B114" i="1"/>
  <c r="B117" i="1" s="1" a="1"/>
  <c r="C67" i="1"/>
  <c r="B71" i="1" a="1"/>
  <c r="C72" i="1" s="1"/>
  <c r="E65" i="1"/>
  <c r="F68" i="1" s="1"/>
  <c r="M83" i="3" l="1"/>
  <c r="N83" i="3" s="1"/>
  <c r="M85" i="3"/>
  <c r="N85" i="3" s="1"/>
  <c r="M87" i="3"/>
  <c r="N87" i="3" s="1"/>
  <c r="M82" i="3"/>
  <c r="M86" i="3"/>
  <c r="N86" i="3" s="1"/>
  <c r="M84" i="3"/>
  <c r="N84" i="3" s="1"/>
  <c r="M12" i="3"/>
  <c r="M14" i="3"/>
  <c r="N14" i="3" s="1"/>
  <c r="M16" i="3"/>
  <c r="N16" i="3" s="1"/>
  <c r="M18" i="3"/>
  <c r="N18" i="3" s="1"/>
  <c r="M20" i="3"/>
  <c r="N20" i="3" s="1"/>
  <c r="M22" i="3"/>
  <c r="N22" i="3" s="1"/>
  <c r="M15" i="3"/>
  <c r="N15" i="3" s="1"/>
  <c r="M17" i="3"/>
  <c r="N17" i="3" s="1"/>
  <c r="M19" i="3"/>
  <c r="N19" i="3" s="1"/>
  <c r="M21" i="3"/>
  <c r="N21" i="3" s="1"/>
  <c r="M13" i="3"/>
  <c r="N13" i="3" s="1"/>
  <c r="L52" i="3"/>
  <c r="M52" i="3" s="1"/>
  <c r="L56" i="3"/>
  <c r="M56" i="3" s="1"/>
  <c r="L50" i="3"/>
  <c r="M50" i="3" s="1"/>
  <c r="L49" i="3"/>
  <c r="M49" i="3" s="1"/>
  <c r="L53" i="3"/>
  <c r="M53" i="3" s="1"/>
  <c r="L48" i="3"/>
  <c r="M48" i="3" s="1"/>
  <c r="L54" i="3"/>
  <c r="M54" i="3" s="1"/>
  <c r="L51" i="3"/>
  <c r="M51" i="3" s="1"/>
  <c r="L55" i="3"/>
  <c r="M55" i="3" s="1"/>
  <c r="B33" i="4"/>
  <c r="C35" i="4"/>
  <c r="B35" i="4"/>
  <c r="E35" i="4"/>
  <c r="F36" i="4"/>
  <c r="F37" i="4"/>
  <c r="E34" i="4"/>
  <c r="E37" i="4"/>
  <c r="D37" i="4"/>
  <c r="C37" i="4"/>
  <c r="B34" i="4"/>
  <c r="E36" i="4"/>
  <c r="C36" i="4"/>
  <c r="F35" i="4"/>
  <c r="C33" i="4"/>
  <c r="E33" i="4"/>
  <c r="D33" i="4"/>
  <c r="F34" i="4"/>
  <c r="D34" i="4"/>
  <c r="B37" i="4"/>
  <c r="F33" i="4"/>
  <c r="B36" i="4"/>
  <c r="D36" i="4"/>
  <c r="C34" i="4"/>
  <c r="D35" i="4"/>
  <c r="B163" i="1"/>
  <c r="F163" i="1" s="1" a="1"/>
  <c r="C164" i="1"/>
  <c r="B164" i="1"/>
  <c r="C163" i="1"/>
  <c r="B118" i="1"/>
  <c r="C117" i="1"/>
  <c r="B117" i="1"/>
  <c r="C118" i="1"/>
  <c r="B71" i="1"/>
  <c r="B72" i="1"/>
  <c r="C71" i="1"/>
  <c r="F71" i="1" a="1"/>
  <c r="N82" i="3" l="1"/>
  <c r="N88" i="3" s="1"/>
  <c r="K91" i="3" s="1"/>
  <c r="K92" i="3" s="1"/>
  <c r="M88" i="3"/>
  <c r="M23" i="3"/>
  <c r="N12" i="3"/>
  <c r="N23" i="3" s="1"/>
  <c r="M57" i="3"/>
  <c r="L57" i="3"/>
  <c r="I33" i="4" a="1"/>
  <c r="F164" i="1"/>
  <c r="F163" i="1"/>
  <c r="F117" i="1" a="1"/>
  <c r="F118" i="1" s="1"/>
  <c r="F72" i="1"/>
  <c r="F71" i="1"/>
  <c r="K27" i="3" l="1"/>
  <c r="K28" i="3"/>
  <c r="K61" i="3"/>
  <c r="K60" i="3"/>
  <c r="I33" i="4"/>
  <c r="I36" i="4"/>
  <c r="I35" i="4"/>
  <c r="I34" i="4"/>
  <c r="I37" i="4"/>
  <c r="F117" i="1"/>
  <c r="F109" i="1"/>
  <c r="G109" i="1" s="1"/>
  <c r="F107" i="1"/>
  <c r="G107" i="1" s="1"/>
  <c r="F106" i="1"/>
  <c r="G106" i="1" s="1"/>
  <c r="F110" i="1"/>
  <c r="G110" i="1" s="1"/>
  <c r="F105" i="1"/>
  <c r="F108" i="1"/>
  <c r="G108" i="1" s="1"/>
  <c r="F60" i="1"/>
  <c r="G60" i="1" s="1"/>
  <c r="F64" i="1"/>
  <c r="G64" i="1" s="1"/>
  <c r="F58" i="1"/>
  <c r="G58" i="1" s="1"/>
  <c r="F59" i="1"/>
  <c r="G59" i="1" s="1"/>
  <c r="F57" i="1"/>
  <c r="G57" i="1" s="1"/>
  <c r="F61" i="1"/>
  <c r="G61" i="1" s="1"/>
  <c r="F56" i="1"/>
  <c r="F62" i="1"/>
  <c r="G62" i="1" s="1"/>
  <c r="B85" i="1"/>
  <c r="F63" i="1"/>
  <c r="G63" i="1" s="1"/>
  <c r="P14" i="4" l="1"/>
  <c r="Q14" i="4" s="1"/>
  <c r="P18" i="4"/>
  <c r="Q18" i="4" s="1"/>
  <c r="P22" i="4"/>
  <c r="Q22" i="4" s="1"/>
  <c r="P21" i="4"/>
  <c r="Q21" i="4" s="1"/>
  <c r="P15" i="4"/>
  <c r="Q15" i="4" s="1"/>
  <c r="P19" i="4"/>
  <c r="Q19" i="4" s="1"/>
  <c r="P12" i="4"/>
  <c r="P16" i="4"/>
  <c r="Q16" i="4" s="1"/>
  <c r="P20" i="4"/>
  <c r="Q20" i="4" s="1"/>
  <c r="P13" i="4"/>
  <c r="Q13" i="4" s="1"/>
  <c r="P17" i="4"/>
  <c r="Q17" i="4" s="1"/>
  <c r="G105" i="1"/>
  <c r="G111" i="1" s="1"/>
  <c r="B120" i="1" s="1"/>
  <c r="B121" i="1" s="1"/>
  <c r="F111" i="1"/>
  <c r="G56" i="1"/>
  <c r="G65" i="1" s="1"/>
  <c r="B74" i="1" s="1"/>
  <c r="B75" i="1" s="1"/>
  <c r="F65" i="1"/>
  <c r="Q12" i="4" l="1"/>
  <c r="Q23" i="4" s="1"/>
  <c r="L26" i="4" s="1"/>
  <c r="P23" i="4"/>
  <c r="B25" i="1"/>
  <c r="E13" i="1"/>
  <c r="E14" i="1"/>
  <c r="E15" i="1"/>
  <c r="E16" i="1"/>
  <c r="E17" i="1"/>
  <c r="E18" i="1"/>
  <c r="E19" i="1"/>
  <c r="E20" i="1"/>
  <c r="E21" i="1"/>
  <c r="E22" i="1"/>
  <c r="E12" i="1"/>
  <c r="D13" i="1"/>
  <c r="D14" i="1"/>
  <c r="D15" i="1"/>
  <c r="D16" i="1"/>
  <c r="D17" i="1"/>
  <c r="D18" i="1"/>
  <c r="D19" i="1"/>
  <c r="D20" i="1"/>
  <c r="D21" i="1"/>
  <c r="D22" i="1"/>
  <c r="D12" i="1"/>
  <c r="C23" i="1"/>
  <c r="F25" i="1" s="1"/>
  <c r="B23" i="1"/>
  <c r="B26" i="1" s="1"/>
  <c r="C25" i="1" l="1"/>
  <c r="D23" i="1"/>
  <c r="C26" i="1" s="1"/>
  <c r="B29" i="1" s="1" a="1"/>
  <c r="E23" i="1"/>
  <c r="F26" i="1" s="1"/>
  <c r="B29" i="1" l="1"/>
  <c r="B30" i="1"/>
  <c r="C29" i="1"/>
  <c r="F29" i="1" s="1" a="1"/>
  <c r="C30" i="1"/>
  <c r="F29" i="1" l="1"/>
  <c r="F30" i="1"/>
  <c r="F16" i="1" l="1"/>
  <c r="G16" i="1" s="1"/>
  <c r="F20" i="1"/>
  <c r="G20" i="1" s="1"/>
  <c r="F13" i="1"/>
  <c r="G13" i="1" s="1"/>
  <c r="F17" i="1"/>
  <c r="G17" i="1" s="1"/>
  <c r="F21" i="1"/>
  <c r="G21" i="1" s="1"/>
  <c r="F15" i="1"/>
  <c r="G15" i="1" s="1"/>
  <c r="F12" i="1"/>
  <c r="F14" i="1"/>
  <c r="G14" i="1" s="1"/>
  <c r="F18" i="1"/>
  <c r="G18" i="1" s="1"/>
  <c r="F22" i="1"/>
  <c r="G22" i="1" s="1"/>
  <c r="F19" i="1"/>
  <c r="G19" i="1" s="1"/>
  <c r="G12" i="1" l="1"/>
  <c r="G23" i="1" s="1"/>
  <c r="B32" i="1" s="1"/>
  <c r="B33" i="1" s="1"/>
  <c r="F23" i="1"/>
</calcChain>
</file>

<file path=xl/sharedStrings.xml><?xml version="1.0" encoding="utf-8"?>
<sst xmlns="http://schemas.openxmlformats.org/spreadsheetml/2006/main" count="361" uniqueCount="61">
  <si>
    <t>x</t>
  </si>
  <si>
    <t>y</t>
  </si>
  <si>
    <t>x^2</t>
  </si>
  <si>
    <t>xy</t>
  </si>
  <si>
    <t>ya</t>
  </si>
  <si>
    <t>y-ya</t>
  </si>
  <si>
    <t>sumatoria</t>
  </si>
  <si>
    <t>it</t>
  </si>
  <si>
    <t>n=</t>
  </si>
  <si>
    <t>a1=</t>
  </si>
  <si>
    <t>a0=</t>
  </si>
  <si>
    <t>matriz=</t>
  </si>
  <si>
    <t>matrizb=</t>
  </si>
  <si>
    <t>matriz inv=</t>
  </si>
  <si>
    <t>Sr=</t>
  </si>
  <si>
    <t>Sy/x=</t>
  </si>
  <si>
    <t>a) t=32</t>
  </si>
  <si>
    <t>pV=nRT</t>
  </si>
  <si>
    <t>R=pV/nT</t>
  </si>
  <si>
    <t>T en Kelvin</t>
  </si>
  <si>
    <t>°C</t>
  </si>
  <si>
    <t>°K</t>
  </si>
  <si>
    <t>R=</t>
  </si>
  <si>
    <t>T (°K)=</t>
  </si>
  <si>
    <t>x^3</t>
  </si>
  <si>
    <t>x^4</t>
  </si>
  <si>
    <t>x^5</t>
  </si>
  <si>
    <t>x^6</t>
  </si>
  <si>
    <t>x^7</t>
  </si>
  <si>
    <t>x^8</t>
  </si>
  <si>
    <t>x^2y</t>
  </si>
  <si>
    <t>x^3y</t>
  </si>
  <si>
    <t>x^4y</t>
  </si>
  <si>
    <t>SUMATORIA</t>
  </si>
  <si>
    <t>matriz a</t>
  </si>
  <si>
    <t>matriz b</t>
  </si>
  <si>
    <t>x^5*y</t>
  </si>
  <si>
    <t>matr inv a=</t>
  </si>
  <si>
    <t>a0</t>
  </si>
  <si>
    <t>a1</t>
  </si>
  <si>
    <t>a2</t>
  </si>
  <si>
    <t>a3</t>
  </si>
  <si>
    <t>a4</t>
  </si>
  <si>
    <t>(y-ya)^2</t>
  </si>
  <si>
    <t>sy/x=</t>
  </si>
  <si>
    <t>matriz a=</t>
  </si>
  <si>
    <t>mat inversa</t>
  </si>
  <si>
    <t>suma=</t>
  </si>
  <si>
    <t>matriz inv</t>
  </si>
  <si>
    <t>sumatoria=</t>
  </si>
  <si>
    <t>sr</t>
  </si>
  <si>
    <t>matriz b=</t>
  </si>
  <si>
    <t>mat inversa=</t>
  </si>
  <si>
    <t>MAT INVER</t>
  </si>
  <si>
    <t>x^3*y</t>
  </si>
  <si>
    <t>minversa=</t>
  </si>
  <si>
    <t>sr=</t>
  </si>
  <si>
    <t>matriz inver=</t>
  </si>
  <si>
    <t>s y/x=</t>
  </si>
  <si>
    <t>x4^y</t>
  </si>
  <si>
    <t>matriz inver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</si>
</sst>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0" fontId="0" fillId="0" borderId="3" xfId="0" applyBorder="1"/>
    <xf numFmtId="164" fontId="0" fillId="0" borderId="1" xfId="0" applyNumberFormat="1" applyBorder="1"/>
    <xf numFmtId="0" fontId="0" fillId="0" borderId="1" xfId="0" applyFill="1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'Grado 1'!$B$12:$B$22</c:f>
              <c:numCache>
                <c:formatCode>General</c:formatCode>
                <c:ptCount val="11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17</c:v>
                </c:pt>
                <c:pt idx="5">
                  <c:v>21</c:v>
                </c:pt>
                <c:pt idx="6">
                  <c:v>23</c:v>
                </c:pt>
                <c:pt idx="7">
                  <c:v>29</c:v>
                </c:pt>
                <c:pt idx="8">
                  <c:v>29</c:v>
                </c:pt>
                <c:pt idx="9">
                  <c:v>37</c:v>
                </c:pt>
                <c:pt idx="10">
                  <c:v>39</c:v>
                </c:pt>
              </c:numCache>
            </c:numRef>
          </c:xVal>
          <c:yVal>
            <c:numRef>
              <c:f>'Grado 1'!$C$12:$C$22</c:f>
              <c:numCache>
                <c:formatCode>General</c:formatCode>
                <c:ptCount val="11"/>
                <c:pt idx="0">
                  <c:v>29</c:v>
                </c:pt>
                <c:pt idx="1">
                  <c:v>21</c:v>
                </c:pt>
                <c:pt idx="2">
                  <c:v>29</c:v>
                </c:pt>
                <c:pt idx="3">
                  <c:v>14</c:v>
                </c:pt>
                <c:pt idx="4">
                  <c:v>21</c:v>
                </c:pt>
                <c:pt idx="5">
                  <c:v>15</c:v>
                </c:pt>
                <c:pt idx="6">
                  <c:v>7</c:v>
                </c:pt>
                <c:pt idx="7">
                  <c:v>7</c:v>
                </c:pt>
                <c:pt idx="8">
                  <c:v>13</c:v>
                </c:pt>
                <c:pt idx="9">
                  <c:v>0</c:v>
                </c:pt>
                <c:pt idx="10">
                  <c:v>3</c:v>
                </c:pt>
              </c:numCache>
            </c:numRef>
          </c:yVal>
          <c:smooth val="1"/>
        </c:ser>
        <c:ser>
          <c:idx val="1"/>
          <c:order val="1"/>
          <c:tx>
            <c:v>Ajuste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'Grado 1'!$B$12:$B$22</c:f>
              <c:numCache>
                <c:formatCode>General</c:formatCode>
                <c:ptCount val="11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17</c:v>
                </c:pt>
                <c:pt idx="5">
                  <c:v>21</c:v>
                </c:pt>
                <c:pt idx="6">
                  <c:v>23</c:v>
                </c:pt>
                <c:pt idx="7">
                  <c:v>29</c:v>
                </c:pt>
                <c:pt idx="8">
                  <c:v>29</c:v>
                </c:pt>
                <c:pt idx="9">
                  <c:v>37</c:v>
                </c:pt>
                <c:pt idx="10">
                  <c:v>39</c:v>
                </c:pt>
              </c:numCache>
            </c:numRef>
          </c:xVal>
          <c:yVal>
            <c:numRef>
              <c:f>'Grado 1'!$F$12:$F$22</c:f>
              <c:numCache>
                <c:formatCode>General</c:formatCode>
                <c:ptCount val="11"/>
                <c:pt idx="0">
                  <c:v>26.375619425173436</c:v>
                </c:pt>
                <c:pt idx="1">
                  <c:v>25.595072915191842</c:v>
                </c:pt>
                <c:pt idx="2">
                  <c:v>22.472886875265466</c:v>
                </c:pt>
                <c:pt idx="3">
                  <c:v>19.350700835339087</c:v>
                </c:pt>
                <c:pt idx="4">
                  <c:v>17.789607815375899</c:v>
                </c:pt>
                <c:pt idx="5">
                  <c:v>14.667421775449519</c:v>
                </c:pt>
                <c:pt idx="6">
                  <c:v>13.106328755486331</c:v>
                </c:pt>
                <c:pt idx="7">
                  <c:v>8.4230496955967631</c:v>
                </c:pt>
                <c:pt idx="8">
                  <c:v>8.4230496955967631</c:v>
                </c:pt>
                <c:pt idx="9">
                  <c:v>2.1786776157440073</c:v>
                </c:pt>
                <c:pt idx="10">
                  <c:v>0.61758459578081926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6228896"/>
        <c:axId val="-86223456"/>
      </c:scatterChart>
      <c:valAx>
        <c:axId val="-8622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6223456"/>
        <c:crosses val="autoZero"/>
        <c:crossBetween val="midCat"/>
      </c:valAx>
      <c:valAx>
        <c:axId val="-8622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622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'Grado 1'!$B$56:$B$64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40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75</c:v>
                </c:pt>
              </c:numCache>
            </c:numRef>
          </c:xVal>
          <c:yVal>
            <c:numRef>
              <c:f>'Grado 1'!$C$56:$C$64</c:f>
              <c:numCache>
                <c:formatCode>General</c:formatCode>
                <c:ptCount val="9"/>
                <c:pt idx="0">
                  <c:v>5</c:v>
                </c:pt>
                <c:pt idx="1">
                  <c:v>20</c:v>
                </c:pt>
                <c:pt idx="2">
                  <c:v>18</c:v>
                </c:pt>
                <c:pt idx="3">
                  <c:v>40</c:v>
                </c:pt>
                <c:pt idx="4">
                  <c:v>33</c:v>
                </c:pt>
                <c:pt idx="5">
                  <c:v>54</c:v>
                </c:pt>
                <c:pt idx="6">
                  <c:v>70</c:v>
                </c:pt>
                <c:pt idx="7">
                  <c:v>60</c:v>
                </c:pt>
                <c:pt idx="8">
                  <c:v>78</c:v>
                </c:pt>
              </c:numCache>
            </c:numRef>
          </c:yVal>
          <c:smooth val="1"/>
        </c:ser>
        <c:ser>
          <c:idx val="1"/>
          <c:order val="1"/>
          <c:tx>
            <c:v>Ajuste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'Grado 1'!$B$56:$B$64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40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75</c:v>
                </c:pt>
              </c:numCache>
            </c:numRef>
          </c:xVal>
          <c:yVal>
            <c:numRef>
              <c:f>'Grado 1'!$F$56:$F$64</c:f>
              <c:numCache>
                <c:formatCode>General</c:formatCode>
                <c:ptCount val="9"/>
                <c:pt idx="0">
                  <c:v>11.40760869565214</c:v>
                </c:pt>
                <c:pt idx="1">
                  <c:v>16.702445652173878</c:v>
                </c:pt>
                <c:pt idx="2">
                  <c:v>21.99728260869562</c:v>
                </c:pt>
                <c:pt idx="3">
                  <c:v>27.292119565217362</c:v>
                </c:pt>
                <c:pt idx="4">
                  <c:v>43.176630434782581</c:v>
                </c:pt>
                <c:pt idx="5">
                  <c:v>53.766304347826065</c:v>
                </c:pt>
                <c:pt idx="6">
                  <c:v>59.0611413043478</c:v>
                </c:pt>
                <c:pt idx="7">
                  <c:v>64.355978260869534</c:v>
                </c:pt>
                <c:pt idx="8">
                  <c:v>80.240489130434767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6227264"/>
        <c:axId val="-86226176"/>
      </c:scatterChart>
      <c:valAx>
        <c:axId val="-862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6226176"/>
        <c:crosses val="autoZero"/>
        <c:crossBetween val="midCat"/>
      </c:valAx>
      <c:valAx>
        <c:axId val="-8622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622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'Grado 1'!$B$105:$B$110</c:f>
              <c:numCache>
                <c:formatCode>General</c:formatCode>
                <c:ptCount val="6"/>
                <c:pt idx="0">
                  <c:v>-50</c:v>
                </c:pt>
                <c:pt idx="1">
                  <c:v>-30</c:v>
                </c:pt>
                <c:pt idx="2">
                  <c:v>0</c:v>
                </c:pt>
                <c:pt idx="3">
                  <c:v>60</c:v>
                </c:pt>
                <c:pt idx="4">
                  <c:v>90</c:v>
                </c:pt>
                <c:pt idx="5">
                  <c:v>110</c:v>
                </c:pt>
              </c:numCache>
            </c:numRef>
          </c:xVal>
          <c:yVal>
            <c:numRef>
              <c:f>'Grado 1'!$C$105:$C$110</c:f>
              <c:numCache>
                <c:formatCode>General</c:formatCode>
                <c:ptCount val="6"/>
                <c:pt idx="0">
                  <c:v>1270</c:v>
                </c:pt>
                <c:pt idx="1">
                  <c:v>1280</c:v>
                </c:pt>
                <c:pt idx="2">
                  <c:v>1350</c:v>
                </c:pt>
                <c:pt idx="3">
                  <c:v>1480</c:v>
                </c:pt>
                <c:pt idx="4">
                  <c:v>1580</c:v>
                </c:pt>
                <c:pt idx="5">
                  <c:v>1700</c:v>
                </c:pt>
              </c:numCache>
            </c:numRef>
          </c:yVal>
          <c:smooth val="1"/>
        </c:ser>
        <c:ser>
          <c:idx val="1"/>
          <c:order val="1"/>
          <c:tx>
            <c:v>ajunte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'Grado 1'!$B$105:$B$110</c:f>
              <c:numCache>
                <c:formatCode>General</c:formatCode>
                <c:ptCount val="6"/>
                <c:pt idx="0">
                  <c:v>-50</c:v>
                </c:pt>
                <c:pt idx="1">
                  <c:v>-30</c:v>
                </c:pt>
                <c:pt idx="2">
                  <c:v>0</c:v>
                </c:pt>
                <c:pt idx="3">
                  <c:v>60</c:v>
                </c:pt>
                <c:pt idx="4">
                  <c:v>90</c:v>
                </c:pt>
                <c:pt idx="5">
                  <c:v>110</c:v>
                </c:pt>
              </c:numCache>
            </c:numRef>
          </c:xVal>
          <c:yVal>
            <c:numRef>
              <c:f>'Grado 1'!$F$105:$F$110</c:f>
              <c:numCache>
                <c:formatCode>0.00</c:formatCode>
                <c:ptCount val="6"/>
                <c:pt idx="0">
                  <c:v>1236.7278287461772</c:v>
                </c:pt>
                <c:pt idx="1">
                  <c:v>1288.3792048929663</c:v>
                </c:pt>
                <c:pt idx="2">
                  <c:v>1365.8562691131497</c:v>
                </c:pt>
                <c:pt idx="3">
                  <c:v>1520.8103975535166</c:v>
                </c:pt>
                <c:pt idx="4">
                  <c:v>1598.2874617737</c:v>
                </c:pt>
                <c:pt idx="5">
                  <c:v>1649.938837920489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6319680"/>
        <c:axId val="-86319136"/>
      </c:scatterChart>
      <c:valAx>
        <c:axId val="-8631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6319136"/>
        <c:crosses val="autoZero"/>
        <c:crossBetween val="midCat"/>
      </c:valAx>
      <c:valAx>
        <c:axId val="-863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631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'Grado 1'!$B$151:$B$156</c:f>
              <c:numCache>
                <c:formatCode>General</c:formatCode>
                <c:ptCount val="6"/>
                <c:pt idx="0">
                  <c:v>-40</c:v>
                </c:pt>
                <c:pt idx="1">
                  <c:v>0</c:v>
                </c:pt>
                <c:pt idx="2">
                  <c:v>40</c:v>
                </c:pt>
                <c:pt idx="3">
                  <c:v>80</c:v>
                </c:pt>
                <c:pt idx="4">
                  <c:v>120</c:v>
                </c:pt>
                <c:pt idx="5">
                  <c:v>160</c:v>
                </c:pt>
              </c:numCache>
            </c:numRef>
          </c:xVal>
          <c:yVal>
            <c:numRef>
              <c:f>'Grado 1'!$C$151:$C$156</c:f>
              <c:numCache>
                <c:formatCode>General</c:formatCode>
                <c:ptCount val="6"/>
                <c:pt idx="0">
                  <c:v>6900</c:v>
                </c:pt>
                <c:pt idx="1">
                  <c:v>8100</c:v>
                </c:pt>
                <c:pt idx="2">
                  <c:v>9300</c:v>
                </c:pt>
                <c:pt idx="3">
                  <c:v>10500</c:v>
                </c:pt>
                <c:pt idx="4">
                  <c:v>11700</c:v>
                </c:pt>
                <c:pt idx="5">
                  <c:v>12900</c:v>
                </c:pt>
              </c:numCache>
            </c:numRef>
          </c:yVal>
          <c:smooth val="1"/>
        </c:ser>
        <c:ser>
          <c:idx val="1"/>
          <c:order val="1"/>
          <c:tx>
            <c:v>ajustes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'Grado 1'!$B$151:$B$156</c:f>
              <c:numCache>
                <c:formatCode>General</c:formatCode>
                <c:ptCount val="6"/>
                <c:pt idx="0">
                  <c:v>-40</c:v>
                </c:pt>
                <c:pt idx="1">
                  <c:v>0</c:v>
                </c:pt>
                <c:pt idx="2">
                  <c:v>40</c:v>
                </c:pt>
                <c:pt idx="3">
                  <c:v>80</c:v>
                </c:pt>
                <c:pt idx="4">
                  <c:v>120</c:v>
                </c:pt>
                <c:pt idx="5">
                  <c:v>160</c:v>
                </c:pt>
              </c:numCache>
            </c:numRef>
          </c:xVal>
          <c:yVal>
            <c:numRef>
              <c:f>'Grado 1'!$F$151:$F$156</c:f>
              <c:numCache>
                <c:formatCode>General</c:formatCode>
                <c:ptCount val="6"/>
                <c:pt idx="0">
                  <c:v>6900</c:v>
                </c:pt>
                <c:pt idx="1">
                  <c:v>8100</c:v>
                </c:pt>
                <c:pt idx="2">
                  <c:v>9300</c:v>
                </c:pt>
                <c:pt idx="3">
                  <c:v>10500</c:v>
                </c:pt>
                <c:pt idx="4">
                  <c:v>11700.000000000002</c:v>
                </c:pt>
                <c:pt idx="5">
                  <c:v>12900.000000000002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7229648"/>
        <c:axId val="-47239440"/>
      </c:scatterChart>
      <c:valAx>
        <c:axId val="-4722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47239440"/>
        <c:crosses val="autoZero"/>
        <c:crossBetween val="midCat"/>
      </c:valAx>
      <c:valAx>
        <c:axId val="-472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4722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753717</xdr:colOff>
      <xdr:row>8</xdr:row>
      <xdr:rowOff>124239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909" t="36156" r="46767" b="37799"/>
        <a:stretch/>
      </xdr:blipFill>
      <xdr:spPr>
        <a:xfrm>
          <a:off x="0" y="0"/>
          <a:ext cx="4563717" cy="16482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57979</xdr:rowOff>
    </xdr:from>
    <xdr:to>
      <xdr:col>6</xdr:col>
      <xdr:colOff>728869</xdr:colOff>
      <xdr:row>46</xdr:row>
      <xdr:rowOff>8283</xdr:rowOff>
    </xdr:to>
    <xdr:graphicFrame macro="">
      <xdr:nvGraphicFramePr>
        <xdr:cNvPr id="7" name="Gráfico 6" title="Ajuste de Curv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99389</xdr:rowOff>
    </xdr:from>
    <xdr:to>
      <xdr:col>6</xdr:col>
      <xdr:colOff>33130</xdr:colOff>
      <xdr:row>53</xdr:row>
      <xdr:rowOff>33130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369" t="30914" r="20865" b="51761"/>
        <a:stretch/>
      </xdr:blipFill>
      <xdr:spPr>
        <a:xfrm>
          <a:off x="0" y="8862389"/>
          <a:ext cx="4605130" cy="126724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41413</xdr:rowOff>
    </xdr:from>
    <xdr:to>
      <xdr:col>5</xdr:col>
      <xdr:colOff>728870</xdr:colOff>
      <xdr:row>83</xdr:row>
      <xdr:rowOff>124239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94</xdr:row>
      <xdr:rowOff>8284</xdr:rowOff>
    </xdr:from>
    <xdr:to>
      <xdr:col>5</xdr:col>
      <xdr:colOff>132522</xdr:colOff>
      <xdr:row>102</xdr:row>
      <xdr:rowOff>8283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9668" t="24913" r="45821" b="58102"/>
        <a:stretch/>
      </xdr:blipFill>
      <xdr:spPr>
        <a:xfrm>
          <a:off x="0" y="17915284"/>
          <a:ext cx="3942522" cy="15239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33130</xdr:rowOff>
    </xdr:from>
    <xdr:to>
      <xdr:col>6</xdr:col>
      <xdr:colOff>33130</xdr:colOff>
      <xdr:row>148</xdr:row>
      <xdr:rowOff>165652</xdr:rowOff>
    </xdr:to>
    <xdr:pic>
      <xdr:nvPicPr>
        <xdr:cNvPr id="11" name="Imagen 10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53925" t="52317" r="20672" b="28206"/>
        <a:stretch/>
      </xdr:blipFill>
      <xdr:spPr>
        <a:xfrm>
          <a:off x="0" y="26893630"/>
          <a:ext cx="4605130" cy="1466022"/>
        </a:xfrm>
        <a:prstGeom prst="rect">
          <a:avLst/>
        </a:prstGeom>
      </xdr:spPr>
    </xdr:pic>
    <xdr:clientData/>
  </xdr:twoCellAnchor>
  <xdr:twoCellAnchor>
    <xdr:from>
      <xdr:col>0</xdr:col>
      <xdr:colOff>12423</xdr:colOff>
      <xdr:row>121</xdr:row>
      <xdr:rowOff>48866</xdr:rowOff>
    </xdr:from>
    <xdr:to>
      <xdr:col>5</xdr:col>
      <xdr:colOff>654326</xdr:colOff>
      <xdr:row>134</xdr:row>
      <xdr:rowOff>74543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4141</xdr:colOff>
      <xdr:row>166</xdr:row>
      <xdr:rowOff>189671</xdr:rowOff>
    </xdr:from>
    <xdr:to>
      <xdr:col>6</xdr:col>
      <xdr:colOff>4141</xdr:colOff>
      <xdr:row>175</xdr:row>
      <xdr:rowOff>149087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496542</xdr:colOff>
      <xdr:row>8</xdr:row>
      <xdr:rowOff>124239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909" t="36156" r="46767" b="37799"/>
        <a:stretch/>
      </xdr:blipFill>
      <xdr:spPr>
        <a:xfrm>
          <a:off x="0" y="0"/>
          <a:ext cx="4563717" cy="16482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6</xdr:col>
      <xdr:colOff>189807</xdr:colOff>
      <xdr:row>42</xdr:row>
      <xdr:rowOff>47625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369" t="30914" r="20865" b="51761"/>
        <a:stretch/>
      </xdr:blipFill>
      <xdr:spPr>
        <a:xfrm>
          <a:off x="0" y="6667500"/>
          <a:ext cx="5018982" cy="1381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4</xdr:col>
      <xdr:colOff>637347</xdr:colOff>
      <xdr:row>73</xdr:row>
      <xdr:rowOff>190499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668" t="24913" r="45821" b="58102"/>
        <a:stretch/>
      </xdr:blipFill>
      <xdr:spPr>
        <a:xfrm>
          <a:off x="0" y="12573000"/>
          <a:ext cx="3942522" cy="15239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5</xdr:col>
      <xdr:colOff>537955</xdr:colOff>
      <xdr:row>103</xdr:row>
      <xdr:rowOff>132522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25" t="52317" r="20672" b="28206"/>
        <a:stretch/>
      </xdr:blipFill>
      <xdr:spPr>
        <a:xfrm>
          <a:off x="0" y="18288000"/>
          <a:ext cx="4605130" cy="14660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439392</xdr:colOff>
      <xdr:row>8</xdr:row>
      <xdr:rowOff>124239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909" t="36156" r="46767" b="37799"/>
        <a:stretch/>
      </xdr:blipFill>
      <xdr:spPr>
        <a:xfrm>
          <a:off x="0" y="0"/>
          <a:ext cx="4563717" cy="16482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6</xdr:col>
      <xdr:colOff>132657</xdr:colOff>
      <xdr:row>45</xdr:row>
      <xdr:rowOff>47625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369" t="30914" r="20865" b="51761"/>
        <a:stretch/>
      </xdr:blipFill>
      <xdr:spPr>
        <a:xfrm>
          <a:off x="0" y="7239000"/>
          <a:ext cx="5018982" cy="1381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627822</xdr:colOff>
      <xdr:row>78</xdr:row>
      <xdr:rowOff>190499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668" t="24913" r="45821" b="58102"/>
        <a:stretch/>
      </xdr:blipFill>
      <xdr:spPr>
        <a:xfrm>
          <a:off x="0" y="13525500"/>
          <a:ext cx="3942522" cy="15239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5</xdr:col>
      <xdr:colOff>480805</xdr:colOff>
      <xdr:row>110</xdr:row>
      <xdr:rowOff>132522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25" t="52317" r="20672" b="28206"/>
        <a:stretch/>
      </xdr:blipFill>
      <xdr:spPr>
        <a:xfrm>
          <a:off x="0" y="19621500"/>
          <a:ext cx="4605130" cy="14660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467967</xdr:colOff>
      <xdr:row>8</xdr:row>
      <xdr:rowOff>124239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909" t="36156" r="46767" b="37799"/>
        <a:stretch/>
      </xdr:blipFill>
      <xdr:spPr>
        <a:xfrm>
          <a:off x="0" y="0"/>
          <a:ext cx="4563717" cy="16482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5</xdr:col>
      <xdr:colOff>509380</xdr:colOff>
      <xdr:row>48</xdr:row>
      <xdr:rowOff>124241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369" t="30914" r="20865" b="51761"/>
        <a:stretch/>
      </xdr:blipFill>
      <xdr:spPr>
        <a:xfrm>
          <a:off x="0" y="8001000"/>
          <a:ext cx="4605130" cy="12672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4</xdr:col>
      <xdr:colOff>704022</xdr:colOff>
      <xdr:row>85</xdr:row>
      <xdr:rowOff>190499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668" t="24913" r="45821" b="58102"/>
        <a:stretch/>
      </xdr:blipFill>
      <xdr:spPr>
        <a:xfrm>
          <a:off x="0" y="14859000"/>
          <a:ext cx="3942522" cy="152399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113</xdr:row>
      <xdr:rowOff>171450</xdr:rowOff>
    </xdr:from>
    <xdr:to>
      <xdr:col>5</xdr:col>
      <xdr:colOff>595105</xdr:colOff>
      <xdr:row>121</xdr:row>
      <xdr:rowOff>113472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25" t="52317" r="20672" b="28206"/>
        <a:stretch/>
      </xdr:blipFill>
      <xdr:spPr>
        <a:xfrm>
          <a:off x="85725" y="21697950"/>
          <a:ext cx="4605130" cy="1466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G184"/>
  <sheetViews>
    <sheetView tabSelected="1" topLeftCell="A91" zoomScale="115" zoomScaleNormal="115" workbookViewId="0">
      <selection activeCell="C104" sqref="C104"/>
    </sheetView>
  </sheetViews>
  <sheetFormatPr baseColWidth="10" defaultRowHeight="15" x14ac:dyDescent="0.25"/>
  <cols>
    <col min="7" max="7" width="13.140625" bestFit="1" customWidth="1"/>
  </cols>
  <sheetData>
    <row r="11" spans="1:7" x14ac:dyDescent="0.25">
      <c r="A11" s="1" t="s">
        <v>7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</row>
    <row r="12" spans="1:7" x14ac:dyDescent="0.25">
      <c r="A12" s="1">
        <v>1</v>
      </c>
      <c r="B12" s="1">
        <v>6</v>
      </c>
      <c r="C12" s="1">
        <v>29</v>
      </c>
      <c r="D12" s="1">
        <f>B12^2</f>
        <v>36</v>
      </c>
      <c r="E12" s="1">
        <f>B12*C12</f>
        <v>174</v>
      </c>
      <c r="F12" s="1">
        <f t="shared" ref="F12:F22" si="0">$F$29+($F$30*B12)</f>
        <v>26.375619425173436</v>
      </c>
      <c r="G12" s="1">
        <f>C12-F12</f>
        <v>2.6243805748265636</v>
      </c>
    </row>
    <row r="13" spans="1:7" x14ac:dyDescent="0.25">
      <c r="A13" s="1">
        <v>2</v>
      </c>
      <c r="B13" s="1">
        <v>7</v>
      </c>
      <c r="C13" s="1">
        <v>21</v>
      </c>
      <c r="D13" s="1">
        <f t="shared" ref="D13:D22" si="1">B13^2</f>
        <v>49</v>
      </c>
      <c r="E13" s="1">
        <f t="shared" ref="E13:E22" si="2">B13*C13</f>
        <v>147</v>
      </c>
      <c r="F13" s="1">
        <f t="shared" si="0"/>
        <v>25.595072915191842</v>
      </c>
      <c r="G13" s="1">
        <f t="shared" ref="G13:G22" si="3">C13-F13</f>
        <v>-4.5950729151918424</v>
      </c>
    </row>
    <row r="14" spans="1:7" x14ac:dyDescent="0.25">
      <c r="A14" s="1">
        <v>3</v>
      </c>
      <c r="B14" s="1">
        <v>11</v>
      </c>
      <c r="C14" s="1">
        <v>29</v>
      </c>
      <c r="D14" s="1">
        <f t="shared" si="1"/>
        <v>121</v>
      </c>
      <c r="E14" s="1">
        <f t="shared" si="2"/>
        <v>319</v>
      </c>
      <c r="F14" s="1">
        <f t="shared" si="0"/>
        <v>22.472886875265466</v>
      </c>
      <c r="G14" s="1">
        <f t="shared" si="3"/>
        <v>6.5271131247345338</v>
      </c>
    </row>
    <row r="15" spans="1:7" x14ac:dyDescent="0.25">
      <c r="A15" s="1">
        <v>4</v>
      </c>
      <c r="B15" s="1">
        <v>15</v>
      </c>
      <c r="C15" s="1">
        <v>14</v>
      </c>
      <c r="D15" s="1">
        <f t="shared" si="1"/>
        <v>225</v>
      </c>
      <c r="E15" s="1">
        <f t="shared" si="2"/>
        <v>210</v>
      </c>
      <c r="F15" s="1">
        <f t="shared" si="0"/>
        <v>19.350700835339087</v>
      </c>
      <c r="G15" s="1">
        <f t="shared" si="3"/>
        <v>-5.3507008353390866</v>
      </c>
    </row>
    <row r="16" spans="1:7" x14ac:dyDescent="0.25">
      <c r="A16" s="1">
        <v>5</v>
      </c>
      <c r="B16" s="1">
        <v>17</v>
      </c>
      <c r="C16" s="1">
        <v>21</v>
      </c>
      <c r="D16" s="1">
        <f t="shared" si="1"/>
        <v>289</v>
      </c>
      <c r="E16" s="1">
        <f t="shared" si="2"/>
        <v>357</v>
      </c>
      <c r="F16" s="1">
        <f t="shared" si="0"/>
        <v>17.789607815375899</v>
      </c>
      <c r="G16" s="1">
        <f t="shared" si="3"/>
        <v>3.2103921846241015</v>
      </c>
    </row>
    <row r="17" spans="1:7" x14ac:dyDescent="0.25">
      <c r="A17" s="1">
        <v>6</v>
      </c>
      <c r="B17" s="1">
        <v>21</v>
      </c>
      <c r="C17" s="1">
        <v>15</v>
      </c>
      <c r="D17" s="1">
        <f t="shared" si="1"/>
        <v>441</v>
      </c>
      <c r="E17" s="1">
        <f t="shared" si="2"/>
        <v>315</v>
      </c>
      <c r="F17" s="1">
        <f t="shared" si="0"/>
        <v>14.667421775449519</v>
      </c>
      <c r="G17" s="1">
        <f t="shared" si="3"/>
        <v>0.33257822455048114</v>
      </c>
    </row>
    <row r="18" spans="1:7" x14ac:dyDescent="0.25">
      <c r="A18" s="1">
        <v>7</v>
      </c>
      <c r="B18" s="1">
        <v>23</v>
      </c>
      <c r="C18" s="1">
        <v>7</v>
      </c>
      <c r="D18" s="1">
        <f t="shared" si="1"/>
        <v>529</v>
      </c>
      <c r="E18" s="1">
        <f t="shared" si="2"/>
        <v>161</v>
      </c>
      <c r="F18" s="1">
        <f t="shared" si="0"/>
        <v>13.106328755486331</v>
      </c>
      <c r="G18" s="1">
        <f t="shared" si="3"/>
        <v>-6.1063287554863308</v>
      </c>
    </row>
    <row r="19" spans="1:7" x14ac:dyDescent="0.25">
      <c r="A19" s="1">
        <v>8</v>
      </c>
      <c r="B19" s="1">
        <v>29</v>
      </c>
      <c r="C19" s="1">
        <v>7</v>
      </c>
      <c r="D19" s="1">
        <f t="shared" si="1"/>
        <v>841</v>
      </c>
      <c r="E19" s="1">
        <f t="shared" si="2"/>
        <v>203</v>
      </c>
      <c r="F19" s="1">
        <f t="shared" si="0"/>
        <v>8.4230496955967631</v>
      </c>
      <c r="G19" s="1">
        <f t="shared" si="3"/>
        <v>-1.4230496955967631</v>
      </c>
    </row>
    <row r="20" spans="1:7" x14ac:dyDescent="0.25">
      <c r="A20" s="1">
        <v>9</v>
      </c>
      <c r="B20" s="1">
        <v>29</v>
      </c>
      <c r="C20" s="1">
        <v>13</v>
      </c>
      <c r="D20" s="1">
        <f t="shared" si="1"/>
        <v>841</v>
      </c>
      <c r="E20" s="1">
        <f t="shared" si="2"/>
        <v>377</v>
      </c>
      <c r="F20" s="1">
        <f t="shared" si="0"/>
        <v>8.4230496955967631</v>
      </c>
      <c r="G20" s="1">
        <f t="shared" si="3"/>
        <v>4.5769503044032369</v>
      </c>
    </row>
    <row r="21" spans="1:7" x14ac:dyDescent="0.25">
      <c r="A21" s="1">
        <v>10</v>
      </c>
      <c r="B21" s="1">
        <v>37</v>
      </c>
      <c r="C21" s="1">
        <v>0</v>
      </c>
      <c r="D21" s="1">
        <f t="shared" si="1"/>
        <v>1369</v>
      </c>
      <c r="E21" s="1">
        <f t="shared" si="2"/>
        <v>0</v>
      </c>
      <c r="F21" s="1">
        <f t="shared" si="0"/>
        <v>2.1786776157440073</v>
      </c>
      <c r="G21" s="1">
        <f t="shared" si="3"/>
        <v>-2.1786776157440073</v>
      </c>
    </row>
    <row r="22" spans="1:7" x14ac:dyDescent="0.25">
      <c r="A22" s="1">
        <v>11</v>
      </c>
      <c r="B22" s="2">
        <v>39</v>
      </c>
      <c r="C22" s="2">
        <v>3</v>
      </c>
      <c r="D22" s="1">
        <f t="shared" si="1"/>
        <v>1521</v>
      </c>
      <c r="E22" s="1">
        <f t="shared" si="2"/>
        <v>117</v>
      </c>
      <c r="F22" s="1">
        <f t="shared" si="0"/>
        <v>0.61758459578081926</v>
      </c>
      <c r="G22" s="1">
        <f t="shared" si="3"/>
        <v>2.3824154042191807</v>
      </c>
    </row>
    <row r="23" spans="1:7" x14ac:dyDescent="0.25">
      <c r="A23" s="1" t="s">
        <v>6</v>
      </c>
      <c r="B23" s="1">
        <f>SUM(B12:B22)</f>
        <v>234</v>
      </c>
      <c r="C23" s="1">
        <f t="shared" ref="C23:G23" si="4">SUM(C12:C22)</f>
        <v>159</v>
      </c>
      <c r="D23" s="1">
        <f t="shared" si="4"/>
        <v>6262</v>
      </c>
      <c r="E23" s="1">
        <f t="shared" si="4"/>
        <v>2380</v>
      </c>
      <c r="F23" s="1">
        <f t="shared" si="4"/>
        <v>158.99999999999991</v>
      </c>
      <c r="G23" s="1">
        <f t="shared" si="4"/>
        <v>6.7501559897209518E-14</v>
      </c>
    </row>
    <row r="24" spans="1:7" x14ac:dyDescent="0.25">
      <c r="A24" s="1" t="s">
        <v>8</v>
      </c>
      <c r="B24" s="1">
        <v>11</v>
      </c>
    </row>
    <row r="25" spans="1:7" x14ac:dyDescent="0.25">
      <c r="A25" s="1" t="s">
        <v>11</v>
      </c>
      <c r="B25" s="1">
        <f>B24</f>
        <v>11</v>
      </c>
      <c r="C25" s="1">
        <f>B23</f>
        <v>234</v>
      </c>
      <c r="E25" s="1" t="s">
        <v>12</v>
      </c>
      <c r="F25" s="1">
        <f>C23</f>
        <v>159</v>
      </c>
    </row>
    <row r="26" spans="1:7" x14ac:dyDescent="0.25">
      <c r="B26" s="1">
        <f>B23</f>
        <v>234</v>
      </c>
      <c r="C26" s="1">
        <f>D23</f>
        <v>6262</v>
      </c>
      <c r="F26" s="1">
        <f>E23</f>
        <v>2380</v>
      </c>
    </row>
    <row r="29" spans="1:7" x14ac:dyDescent="0.25">
      <c r="A29" s="1" t="s">
        <v>13</v>
      </c>
      <c r="B29" s="1">
        <f t="array" ref="B29:C30">MINVERSE(B25:C26)</f>
        <v>0.44329604983717974</v>
      </c>
      <c r="C29" s="1">
        <v>-1.6565198923969987E-2</v>
      </c>
      <c r="E29" s="1" t="s">
        <v>10</v>
      </c>
      <c r="F29" s="1">
        <f t="array" ref="F29:F30">MMULT(B29:C30,F25:F26)</f>
        <v>31.058898485063004</v>
      </c>
    </row>
    <row r="30" spans="1:7" x14ac:dyDescent="0.25">
      <c r="B30" s="1">
        <v>-1.6565198923969987E-2</v>
      </c>
      <c r="C30" s="1">
        <v>7.7870593232337538E-4</v>
      </c>
      <c r="E30" s="1" t="s">
        <v>9</v>
      </c>
      <c r="F30" s="1">
        <v>-0.78054650998159447</v>
      </c>
    </row>
    <row r="32" spans="1:7" x14ac:dyDescent="0.25">
      <c r="A32" s="1" t="s">
        <v>14</v>
      </c>
      <c r="B32" s="1">
        <f>G23^2</f>
        <v>4.5564605885565642E-27</v>
      </c>
    </row>
    <row r="33" spans="1:2" x14ac:dyDescent="0.25">
      <c r="A33" s="1" t="s">
        <v>15</v>
      </c>
      <c r="B33" s="1">
        <f>SQRT(B32/(B24-2))</f>
        <v>2.2500519965736508E-14</v>
      </c>
    </row>
    <row r="55" spans="1:7" x14ac:dyDescent="0.25">
      <c r="A55" s="1" t="s">
        <v>7</v>
      </c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</row>
    <row r="56" spans="1:7" x14ac:dyDescent="0.25">
      <c r="A56" s="1">
        <v>1</v>
      </c>
      <c r="B56" s="1">
        <v>10</v>
      </c>
      <c r="C56" s="1">
        <v>5</v>
      </c>
      <c r="D56" s="1">
        <f>B56^2</f>
        <v>100</v>
      </c>
      <c r="E56" s="1">
        <f>B56*C56</f>
        <v>50</v>
      </c>
      <c r="F56" s="1">
        <f t="shared" ref="F56:F64" si="5">$F$71+($F$72*B56)</f>
        <v>11.40760869565214</v>
      </c>
      <c r="G56" s="1">
        <f>C56-F56</f>
        <v>-6.4076086956521401</v>
      </c>
    </row>
    <row r="57" spans="1:7" x14ac:dyDescent="0.25">
      <c r="A57" s="1">
        <v>2</v>
      </c>
      <c r="B57" s="1">
        <v>15</v>
      </c>
      <c r="C57" s="1">
        <v>20</v>
      </c>
      <c r="D57" s="1">
        <f t="shared" ref="D57:D64" si="6">B57^2</f>
        <v>225</v>
      </c>
      <c r="E57" s="1">
        <f t="shared" ref="E57:E64" si="7">B57*C57</f>
        <v>300</v>
      </c>
      <c r="F57" s="1">
        <f t="shared" si="5"/>
        <v>16.702445652173878</v>
      </c>
      <c r="G57" s="1">
        <f t="shared" ref="G57:G64" si="8">C57-F57</f>
        <v>3.2975543478261216</v>
      </c>
    </row>
    <row r="58" spans="1:7" x14ac:dyDescent="0.25">
      <c r="A58" s="1">
        <v>3</v>
      </c>
      <c r="B58" s="1">
        <v>20</v>
      </c>
      <c r="C58" s="1">
        <v>18</v>
      </c>
      <c r="D58" s="1">
        <f t="shared" si="6"/>
        <v>400</v>
      </c>
      <c r="E58" s="1">
        <f t="shared" si="7"/>
        <v>360</v>
      </c>
      <c r="F58" s="1">
        <f t="shared" si="5"/>
        <v>21.99728260869562</v>
      </c>
      <c r="G58" s="1">
        <f t="shared" si="8"/>
        <v>-3.9972826086956204</v>
      </c>
    </row>
    <row r="59" spans="1:7" x14ac:dyDescent="0.25">
      <c r="A59" s="1">
        <v>4</v>
      </c>
      <c r="B59" s="1">
        <v>25</v>
      </c>
      <c r="C59" s="1">
        <v>40</v>
      </c>
      <c r="D59" s="1">
        <f t="shared" si="6"/>
        <v>625</v>
      </c>
      <c r="E59" s="1">
        <f t="shared" si="7"/>
        <v>1000</v>
      </c>
      <c r="F59" s="1">
        <f t="shared" si="5"/>
        <v>27.292119565217362</v>
      </c>
      <c r="G59" s="1">
        <f t="shared" si="8"/>
        <v>12.707880434782638</v>
      </c>
    </row>
    <row r="60" spans="1:7" x14ac:dyDescent="0.25">
      <c r="A60" s="1">
        <v>5</v>
      </c>
      <c r="B60" s="1">
        <v>40</v>
      </c>
      <c r="C60" s="1">
        <v>33</v>
      </c>
      <c r="D60" s="1">
        <f t="shared" si="6"/>
        <v>1600</v>
      </c>
      <c r="E60" s="1">
        <f t="shared" si="7"/>
        <v>1320</v>
      </c>
      <c r="F60" s="1">
        <f t="shared" si="5"/>
        <v>43.176630434782581</v>
      </c>
      <c r="G60" s="1">
        <f t="shared" si="8"/>
        <v>-10.176630434782581</v>
      </c>
    </row>
    <row r="61" spans="1:7" x14ac:dyDescent="0.25">
      <c r="A61" s="1">
        <v>6</v>
      </c>
      <c r="B61" s="1">
        <v>50</v>
      </c>
      <c r="C61" s="1">
        <v>54</v>
      </c>
      <c r="D61" s="1">
        <f t="shared" si="6"/>
        <v>2500</v>
      </c>
      <c r="E61" s="1">
        <f t="shared" si="7"/>
        <v>2700</v>
      </c>
      <c r="F61" s="1">
        <f t="shared" si="5"/>
        <v>53.766304347826065</v>
      </c>
      <c r="G61" s="1">
        <f t="shared" si="8"/>
        <v>0.23369565217393529</v>
      </c>
    </row>
    <row r="62" spans="1:7" x14ac:dyDescent="0.25">
      <c r="A62" s="1">
        <v>7</v>
      </c>
      <c r="B62" s="1">
        <v>55</v>
      </c>
      <c r="C62" s="1">
        <v>70</v>
      </c>
      <c r="D62" s="1">
        <f t="shared" si="6"/>
        <v>3025</v>
      </c>
      <c r="E62" s="1">
        <f t="shared" si="7"/>
        <v>3850</v>
      </c>
      <c r="F62" s="1">
        <f t="shared" si="5"/>
        <v>59.0611413043478</v>
      </c>
      <c r="G62" s="1">
        <f t="shared" si="8"/>
        <v>10.9388586956522</v>
      </c>
    </row>
    <row r="63" spans="1:7" x14ac:dyDescent="0.25">
      <c r="A63" s="1">
        <v>8</v>
      </c>
      <c r="B63" s="1">
        <v>60</v>
      </c>
      <c r="C63" s="1">
        <v>60</v>
      </c>
      <c r="D63" s="1">
        <f t="shared" si="6"/>
        <v>3600</v>
      </c>
      <c r="E63" s="1">
        <f t="shared" si="7"/>
        <v>3600</v>
      </c>
      <c r="F63" s="1">
        <f t="shared" si="5"/>
        <v>64.355978260869534</v>
      </c>
      <c r="G63" s="1">
        <f t="shared" si="8"/>
        <v>-4.3559782608695343</v>
      </c>
    </row>
    <row r="64" spans="1:7" x14ac:dyDescent="0.25">
      <c r="A64" s="1">
        <v>9</v>
      </c>
      <c r="B64" s="1">
        <v>75</v>
      </c>
      <c r="C64" s="1">
        <v>78</v>
      </c>
      <c r="D64" s="1">
        <f t="shared" si="6"/>
        <v>5625</v>
      </c>
      <c r="E64" s="1">
        <f t="shared" si="7"/>
        <v>5850</v>
      </c>
      <c r="F64" s="1">
        <f t="shared" si="5"/>
        <v>80.240489130434767</v>
      </c>
      <c r="G64" s="1">
        <f t="shared" si="8"/>
        <v>-2.2404891304347672</v>
      </c>
    </row>
    <row r="65" spans="1:7" x14ac:dyDescent="0.25">
      <c r="A65" s="1" t="s">
        <v>6</v>
      </c>
      <c r="B65" s="1">
        <f>SUM(B56:B64)</f>
        <v>350</v>
      </c>
      <c r="C65" s="1">
        <f t="shared" ref="C65:G65" si="9">SUM(C56:C64)</f>
        <v>378</v>
      </c>
      <c r="D65" s="1">
        <f t="shared" si="9"/>
        <v>17700</v>
      </c>
      <c r="E65" s="1">
        <f t="shared" si="9"/>
        <v>19030</v>
      </c>
      <c r="F65" s="1">
        <f t="shared" si="9"/>
        <v>377.99999999999977</v>
      </c>
      <c r="G65" s="1">
        <f t="shared" si="9"/>
        <v>2.5224267119483557E-13</v>
      </c>
    </row>
    <row r="66" spans="1:7" x14ac:dyDescent="0.25">
      <c r="A66" s="1" t="s">
        <v>8</v>
      </c>
      <c r="B66" s="1">
        <v>9</v>
      </c>
    </row>
    <row r="67" spans="1:7" x14ac:dyDescent="0.25">
      <c r="A67" s="1" t="s">
        <v>11</v>
      </c>
      <c r="B67" s="1">
        <f>B66</f>
        <v>9</v>
      </c>
      <c r="C67" s="1">
        <f>B65</f>
        <v>350</v>
      </c>
      <c r="E67" s="1" t="s">
        <v>12</v>
      </c>
      <c r="F67" s="1">
        <f>C65</f>
        <v>378</v>
      </c>
    </row>
    <row r="68" spans="1:7" x14ac:dyDescent="0.25">
      <c r="B68" s="1">
        <f>B65</f>
        <v>350</v>
      </c>
      <c r="C68" s="1">
        <f>D65</f>
        <v>17700</v>
      </c>
      <c r="F68" s="1">
        <f>E65</f>
        <v>19030</v>
      </c>
    </row>
    <row r="71" spans="1:7" x14ac:dyDescent="0.25">
      <c r="A71" s="1" t="s">
        <v>13</v>
      </c>
      <c r="B71" s="1">
        <f t="array" ref="B71:C72">MINVERSE(B67:C68)</f>
        <v>0.48097826086956535</v>
      </c>
      <c r="C71" s="1">
        <v>-9.5108695652173971E-3</v>
      </c>
      <c r="E71" s="1" t="s">
        <v>10</v>
      </c>
      <c r="F71" s="1">
        <f t="array" ref="F71:F72">MMULT(B71:C72,F67:F68)</f>
        <v>0.81793478260865982</v>
      </c>
    </row>
    <row r="72" spans="1:7" x14ac:dyDescent="0.25">
      <c r="B72" s="1">
        <v>-9.5108695652173936E-3</v>
      </c>
      <c r="C72" s="1">
        <v>2.4456521739130442E-4</v>
      </c>
      <c r="E72" s="1" t="s">
        <v>9</v>
      </c>
      <c r="F72" s="1">
        <v>1.058967391304348</v>
      </c>
    </row>
    <row r="74" spans="1:7" x14ac:dyDescent="0.25">
      <c r="A74" s="1" t="s">
        <v>14</v>
      </c>
      <c r="B74" s="1">
        <f>G65^2</f>
        <v>6.3626365171505928E-26</v>
      </c>
    </row>
    <row r="75" spans="1:7" x14ac:dyDescent="0.25">
      <c r="A75" s="1" t="s">
        <v>15</v>
      </c>
      <c r="B75" s="1">
        <f>SQRT(B74/(B66-2))</f>
        <v>9.5338768288595809E-14</v>
      </c>
    </row>
    <row r="85" spans="1:2" x14ac:dyDescent="0.25">
      <c r="A85" t="s">
        <v>16</v>
      </c>
      <c r="B85" s="1">
        <f>F71+(F72*32)</f>
        <v>34.704891304347797</v>
      </c>
    </row>
    <row r="104" spans="1:7" x14ac:dyDescent="0.25">
      <c r="A104" s="1" t="s">
        <v>7</v>
      </c>
      <c r="B104" s="1" t="s">
        <v>0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5</v>
      </c>
    </row>
    <row r="105" spans="1:7" x14ac:dyDescent="0.25">
      <c r="A105" s="1">
        <v>1</v>
      </c>
      <c r="B105" s="1">
        <v>-50</v>
      </c>
      <c r="C105" s="1">
        <v>1270</v>
      </c>
      <c r="D105" s="1">
        <f t="shared" ref="D105:D110" si="10">B105^2</f>
        <v>2500</v>
      </c>
      <c r="E105" s="1">
        <f t="shared" ref="E105:E110" si="11">B105*C105</f>
        <v>-63500</v>
      </c>
      <c r="F105" s="3">
        <f t="shared" ref="F105:F110" si="12">$F$117+($F$118*B105)</f>
        <v>1236.7278287461772</v>
      </c>
      <c r="G105" s="1">
        <f t="shared" ref="G105:G110" si="13">C105-F105</f>
        <v>33.272171253822762</v>
      </c>
    </row>
    <row r="106" spans="1:7" x14ac:dyDescent="0.25">
      <c r="A106" s="1">
        <v>2</v>
      </c>
      <c r="B106" s="1">
        <v>-30</v>
      </c>
      <c r="C106" s="1">
        <v>1280</v>
      </c>
      <c r="D106" s="1">
        <f t="shared" si="10"/>
        <v>900</v>
      </c>
      <c r="E106" s="1">
        <f t="shared" si="11"/>
        <v>-38400</v>
      </c>
      <c r="F106" s="3">
        <f t="shared" si="12"/>
        <v>1288.3792048929663</v>
      </c>
      <c r="G106" s="1">
        <f t="shared" si="13"/>
        <v>-8.3792048929662997</v>
      </c>
    </row>
    <row r="107" spans="1:7" x14ac:dyDescent="0.25">
      <c r="A107" s="1">
        <v>3</v>
      </c>
      <c r="B107" s="1">
        <v>0</v>
      </c>
      <c r="C107" s="1">
        <v>1350</v>
      </c>
      <c r="D107" s="1">
        <f t="shared" si="10"/>
        <v>0</v>
      </c>
      <c r="E107" s="1">
        <f t="shared" si="11"/>
        <v>0</v>
      </c>
      <c r="F107" s="3">
        <f t="shared" si="12"/>
        <v>1365.8562691131497</v>
      </c>
      <c r="G107" s="1">
        <f t="shared" si="13"/>
        <v>-15.856269113149665</v>
      </c>
    </row>
    <row r="108" spans="1:7" x14ac:dyDescent="0.25">
      <c r="A108" s="1">
        <v>4</v>
      </c>
      <c r="B108" s="1">
        <v>60</v>
      </c>
      <c r="C108" s="1">
        <v>1480</v>
      </c>
      <c r="D108" s="1">
        <f t="shared" si="10"/>
        <v>3600</v>
      </c>
      <c r="E108" s="1">
        <f t="shared" si="11"/>
        <v>88800</v>
      </c>
      <c r="F108" s="3">
        <f t="shared" si="12"/>
        <v>1520.8103975535166</v>
      </c>
      <c r="G108" s="1">
        <f t="shared" si="13"/>
        <v>-40.810397553516623</v>
      </c>
    </row>
    <row r="109" spans="1:7" x14ac:dyDescent="0.25">
      <c r="A109" s="1">
        <v>5</v>
      </c>
      <c r="B109" s="1">
        <v>90</v>
      </c>
      <c r="C109" s="1">
        <v>1580</v>
      </c>
      <c r="D109" s="1">
        <f t="shared" si="10"/>
        <v>8100</v>
      </c>
      <c r="E109" s="1">
        <f t="shared" si="11"/>
        <v>142200</v>
      </c>
      <c r="F109" s="3">
        <f t="shared" si="12"/>
        <v>1598.2874617737</v>
      </c>
      <c r="G109" s="1">
        <f t="shared" si="13"/>
        <v>-18.287461773699988</v>
      </c>
    </row>
    <row r="110" spans="1:7" x14ac:dyDescent="0.25">
      <c r="A110" s="1">
        <v>6</v>
      </c>
      <c r="B110" s="1">
        <v>110</v>
      </c>
      <c r="C110" s="1">
        <v>1700</v>
      </c>
      <c r="D110" s="1">
        <f t="shared" si="10"/>
        <v>12100</v>
      </c>
      <c r="E110" s="1">
        <f t="shared" si="11"/>
        <v>187000</v>
      </c>
      <c r="F110" s="3">
        <f t="shared" si="12"/>
        <v>1649.938837920489</v>
      </c>
      <c r="G110" s="1">
        <f t="shared" si="13"/>
        <v>50.06116207951095</v>
      </c>
    </row>
    <row r="111" spans="1:7" x14ac:dyDescent="0.25">
      <c r="A111" s="1" t="s">
        <v>6</v>
      </c>
      <c r="B111" s="1">
        <f>SUM(B102:B110)</f>
        <v>180</v>
      </c>
      <c r="C111" s="1">
        <f>SUM(C102:C110)</f>
        <v>8660</v>
      </c>
      <c r="D111" s="1">
        <f t="shared" ref="D111" si="14">SUM(D102:D110)</f>
        <v>27200</v>
      </c>
      <c r="E111" s="1">
        <f t="shared" ref="E111" si="15">SUM(E102:E110)</f>
        <v>316100</v>
      </c>
      <c r="F111" s="1">
        <f t="shared" ref="F111" si="16">SUM(F102:F110)</f>
        <v>8659.9999999999982</v>
      </c>
      <c r="G111" s="1">
        <f t="shared" ref="G111" si="17">SUM(G102:G110)</f>
        <v>1.1368683772161603E-12</v>
      </c>
    </row>
    <row r="112" spans="1:7" x14ac:dyDescent="0.25">
      <c r="A112" s="1" t="s">
        <v>8</v>
      </c>
      <c r="B112" s="1">
        <v>6</v>
      </c>
    </row>
    <row r="113" spans="1:6" x14ac:dyDescent="0.25">
      <c r="A113" s="1" t="s">
        <v>11</v>
      </c>
      <c r="B113" s="1">
        <f>B112</f>
        <v>6</v>
      </c>
      <c r="C113" s="1">
        <f>B111</f>
        <v>180</v>
      </c>
      <c r="E113" s="1" t="s">
        <v>12</v>
      </c>
      <c r="F113" s="1">
        <f>C111</f>
        <v>8660</v>
      </c>
    </row>
    <row r="114" spans="1:6" x14ac:dyDescent="0.25">
      <c r="B114" s="1">
        <f>B111</f>
        <v>180</v>
      </c>
      <c r="C114" s="1">
        <f>D111</f>
        <v>27200</v>
      </c>
      <c r="F114" s="1">
        <f>E111</f>
        <v>316100</v>
      </c>
    </row>
    <row r="117" spans="1:6" x14ac:dyDescent="0.25">
      <c r="A117" s="1" t="s">
        <v>13</v>
      </c>
      <c r="B117" s="1">
        <f t="array" ref="B117:C118">MINVERSE(B113:C114)</f>
        <v>0.20795107033639143</v>
      </c>
      <c r="C117" s="1">
        <v>-1.376146788990826E-3</v>
      </c>
      <c r="E117" s="1" t="s">
        <v>10</v>
      </c>
      <c r="F117" s="1">
        <f t="array" ref="F117:F118">MMULT(B117:C118,F113:F114)</f>
        <v>1365.8562691131497</v>
      </c>
    </row>
    <row r="118" spans="1:6" x14ac:dyDescent="0.25">
      <c r="B118" s="1">
        <v>-1.3761467889908258E-3</v>
      </c>
      <c r="C118" s="1">
        <v>4.5871559633027523E-5</v>
      </c>
      <c r="E118" s="1" t="s">
        <v>9</v>
      </c>
      <c r="F118" s="1">
        <v>2.5825688073394488</v>
      </c>
    </row>
    <row r="120" spans="1:6" x14ac:dyDescent="0.25">
      <c r="A120" s="1" t="s">
        <v>14</v>
      </c>
      <c r="B120" s="1">
        <f>G111^2</f>
        <v>1.2924697071141057E-24</v>
      </c>
    </row>
    <row r="121" spans="1:6" x14ac:dyDescent="0.25">
      <c r="A121" s="1" t="s">
        <v>15</v>
      </c>
      <c r="B121" s="1">
        <f>SQRT(B120/(B112-2))</f>
        <v>5.6843418860808015E-13</v>
      </c>
    </row>
    <row r="150" spans="1:7" x14ac:dyDescent="0.25">
      <c r="A150" s="1" t="s">
        <v>7</v>
      </c>
      <c r="B150" s="1" t="s">
        <v>0</v>
      </c>
      <c r="C150" s="1" t="s">
        <v>1</v>
      </c>
      <c r="D150" s="1" t="s">
        <v>2</v>
      </c>
      <c r="E150" s="1" t="s">
        <v>3</v>
      </c>
      <c r="F150" s="1" t="s">
        <v>4</v>
      </c>
      <c r="G150" s="1" t="s">
        <v>5</v>
      </c>
    </row>
    <row r="151" spans="1:7" x14ac:dyDescent="0.25">
      <c r="A151" s="1">
        <v>1</v>
      </c>
      <c r="B151" s="1">
        <v>-40</v>
      </c>
      <c r="C151" s="1">
        <v>6900</v>
      </c>
      <c r="D151" s="1">
        <f>B151^2</f>
        <v>1600</v>
      </c>
      <c r="E151" s="1">
        <f>B151*C151</f>
        <v>-276000</v>
      </c>
      <c r="F151" s="1">
        <f>$F$163+($F$164*B151)</f>
        <v>6900</v>
      </c>
      <c r="G151" s="1">
        <f>C151-F151</f>
        <v>0</v>
      </c>
    </row>
    <row r="152" spans="1:7" x14ac:dyDescent="0.25">
      <c r="A152" s="1">
        <v>2</v>
      </c>
      <c r="B152" s="1">
        <v>0</v>
      </c>
      <c r="C152" s="1">
        <v>8100</v>
      </c>
      <c r="D152" s="1">
        <f t="shared" ref="D152:D156" si="18">B152^2</f>
        <v>0</v>
      </c>
      <c r="E152" s="1">
        <f t="shared" ref="E152:E156" si="19">B152*C152</f>
        <v>0</v>
      </c>
      <c r="F152" s="1">
        <f t="shared" ref="F152:F156" si="20">$F$163+($F$164*B152)</f>
        <v>8100</v>
      </c>
      <c r="G152" s="1">
        <f t="shared" ref="G152:G156" si="21">C152-F152</f>
        <v>0</v>
      </c>
    </row>
    <row r="153" spans="1:7" x14ac:dyDescent="0.25">
      <c r="A153" s="1">
        <v>3</v>
      </c>
      <c r="B153" s="1">
        <v>40</v>
      </c>
      <c r="C153" s="1">
        <v>9300</v>
      </c>
      <c r="D153" s="1">
        <f t="shared" si="18"/>
        <v>1600</v>
      </c>
      <c r="E153" s="1">
        <f t="shared" si="19"/>
        <v>372000</v>
      </c>
      <c r="F153" s="1">
        <f t="shared" si="20"/>
        <v>9300</v>
      </c>
      <c r="G153" s="1">
        <f t="shared" si="21"/>
        <v>0</v>
      </c>
    </row>
    <row r="154" spans="1:7" x14ac:dyDescent="0.25">
      <c r="A154" s="1">
        <v>4</v>
      </c>
      <c r="B154" s="1">
        <v>80</v>
      </c>
      <c r="C154" s="1">
        <v>10500</v>
      </c>
      <c r="D154" s="1">
        <f t="shared" si="18"/>
        <v>6400</v>
      </c>
      <c r="E154" s="1">
        <f t="shared" si="19"/>
        <v>840000</v>
      </c>
      <c r="F154" s="1">
        <f t="shared" si="20"/>
        <v>10500</v>
      </c>
      <c r="G154" s="1">
        <f t="shared" si="21"/>
        <v>0</v>
      </c>
    </row>
    <row r="155" spans="1:7" x14ac:dyDescent="0.25">
      <c r="A155" s="1">
        <v>5</v>
      </c>
      <c r="B155" s="1">
        <v>120</v>
      </c>
      <c r="C155" s="1">
        <v>11700</v>
      </c>
      <c r="D155" s="1">
        <f t="shared" si="18"/>
        <v>14400</v>
      </c>
      <c r="E155" s="1">
        <f t="shared" si="19"/>
        <v>1404000</v>
      </c>
      <c r="F155" s="1">
        <f t="shared" si="20"/>
        <v>11700.000000000002</v>
      </c>
      <c r="G155" s="1">
        <f t="shared" si="21"/>
        <v>0</v>
      </c>
    </row>
    <row r="156" spans="1:7" x14ac:dyDescent="0.25">
      <c r="A156" s="1">
        <v>6</v>
      </c>
      <c r="B156" s="1">
        <v>160</v>
      </c>
      <c r="C156" s="1">
        <v>12900</v>
      </c>
      <c r="D156" s="1">
        <f t="shared" si="18"/>
        <v>25600</v>
      </c>
      <c r="E156" s="1">
        <f t="shared" si="19"/>
        <v>2064000</v>
      </c>
      <c r="F156" s="1">
        <f t="shared" si="20"/>
        <v>12900.000000000002</v>
      </c>
      <c r="G156" s="1">
        <f t="shared" si="21"/>
        <v>0</v>
      </c>
    </row>
    <row r="157" spans="1:7" x14ac:dyDescent="0.25">
      <c r="A157" s="1" t="s">
        <v>6</v>
      </c>
      <c r="B157" s="1">
        <f>SUM(B148:B156)</f>
        <v>360</v>
      </c>
      <c r="C157" s="1">
        <f>SUM(C148:C156)</f>
        <v>59400</v>
      </c>
      <c r="D157" s="1">
        <f t="shared" ref="D157" si="22">SUM(D148:D156)</f>
        <v>49600</v>
      </c>
      <c r="E157" s="1">
        <f t="shared" ref="E157" si="23">SUM(E148:E156)</f>
        <v>4404000</v>
      </c>
      <c r="F157" s="1">
        <f t="shared" ref="F157" si="24">SUM(F148:F156)</f>
        <v>59400</v>
      </c>
      <c r="G157" s="1">
        <f t="shared" ref="G157" si="25">SUM(G148:G156)</f>
        <v>0</v>
      </c>
    </row>
    <row r="158" spans="1:7" x14ac:dyDescent="0.25">
      <c r="A158" s="1" t="s">
        <v>8</v>
      </c>
      <c r="B158" s="1">
        <v>6</v>
      </c>
    </row>
    <row r="159" spans="1:7" x14ac:dyDescent="0.25">
      <c r="A159" s="1" t="s">
        <v>11</v>
      </c>
      <c r="B159" s="1">
        <f>B158</f>
        <v>6</v>
      </c>
      <c r="C159" s="1">
        <f>B157</f>
        <v>360</v>
      </c>
      <c r="E159" s="1" t="s">
        <v>12</v>
      </c>
      <c r="F159" s="1">
        <f>C157</f>
        <v>59400</v>
      </c>
    </row>
    <row r="160" spans="1:7" x14ac:dyDescent="0.25">
      <c r="B160" s="1">
        <f>B157</f>
        <v>360</v>
      </c>
      <c r="C160" s="1">
        <f>D157</f>
        <v>49600</v>
      </c>
      <c r="F160" s="1">
        <f>E157</f>
        <v>4404000</v>
      </c>
    </row>
    <row r="163" spans="1:6" x14ac:dyDescent="0.25">
      <c r="A163" s="1" t="s">
        <v>13</v>
      </c>
      <c r="B163" s="1">
        <f t="array" ref="B163:C164">MINVERSE(B159:C160)</f>
        <v>0.29523809523809524</v>
      </c>
      <c r="C163" s="1">
        <v>-2.1428571428571434E-3</v>
      </c>
      <c r="E163" s="1" t="s">
        <v>10</v>
      </c>
      <c r="F163" s="1">
        <f t="array" ref="F163:F164">MMULT(B163:C164,F159:F160)</f>
        <v>8100</v>
      </c>
    </row>
    <row r="164" spans="1:6" x14ac:dyDescent="0.25">
      <c r="B164" s="1">
        <v>-2.142857142857143E-3</v>
      </c>
      <c r="C164" s="1">
        <v>3.5714285714285717E-5</v>
      </c>
      <c r="E164" s="1" t="s">
        <v>9</v>
      </c>
      <c r="F164" s="1">
        <v>30.000000000000014</v>
      </c>
    </row>
    <row r="166" spans="1:6" x14ac:dyDescent="0.25">
      <c r="A166" s="1" t="s">
        <v>14</v>
      </c>
      <c r="B166" s="1">
        <f>G157^2</f>
        <v>0</v>
      </c>
    </row>
    <row r="167" spans="1:6" x14ac:dyDescent="0.25">
      <c r="A167" s="1" t="s">
        <v>15</v>
      </c>
      <c r="B167" s="1">
        <f>SQRT(B166/(B158-2))</f>
        <v>0</v>
      </c>
    </row>
    <row r="177" spans="1:7" x14ac:dyDescent="0.25">
      <c r="C177" s="1" t="s">
        <v>19</v>
      </c>
    </row>
    <row r="178" spans="1:7" x14ac:dyDescent="0.25">
      <c r="A178" s="1" t="s">
        <v>17</v>
      </c>
      <c r="B178" s="1" t="s">
        <v>20</v>
      </c>
      <c r="C178" s="1">
        <v>-40</v>
      </c>
      <c r="D178" s="1">
        <v>0</v>
      </c>
      <c r="E178" s="1">
        <v>40</v>
      </c>
      <c r="F178" s="1">
        <v>80</v>
      </c>
      <c r="G178" s="1">
        <v>120</v>
      </c>
    </row>
    <row r="179" spans="1:7" x14ac:dyDescent="0.25">
      <c r="A179" s="1" t="s">
        <v>18</v>
      </c>
      <c r="B179" s="1" t="s">
        <v>21</v>
      </c>
      <c r="C179" s="1">
        <v>233.15</v>
      </c>
      <c r="D179" s="1">
        <v>273.14999999999998</v>
      </c>
      <c r="E179" s="1">
        <v>315.14999999999998</v>
      </c>
      <c r="F179" s="1">
        <v>353.15</v>
      </c>
      <c r="G179" s="1">
        <v>393.15</v>
      </c>
    </row>
    <row r="180" spans="1:7" x14ac:dyDescent="0.25">
      <c r="C180" s="4">
        <v>160</v>
      </c>
    </row>
    <row r="181" spans="1:7" x14ac:dyDescent="0.25">
      <c r="C181" s="1">
        <v>433.15</v>
      </c>
    </row>
    <row r="183" spans="1:7" x14ac:dyDescent="0.25">
      <c r="A183" s="1" t="s">
        <v>23</v>
      </c>
      <c r="B183" s="1">
        <v>233.15</v>
      </c>
      <c r="C183" s="1">
        <v>273.14999999999998</v>
      </c>
      <c r="D183" s="1">
        <v>315.14999999999998</v>
      </c>
      <c r="E183" s="1">
        <v>353.15</v>
      </c>
      <c r="F183" s="1">
        <v>393.15</v>
      </c>
      <c r="G183" s="1">
        <v>433.15</v>
      </c>
    </row>
    <row r="184" spans="1:7" x14ac:dyDescent="0.25">
      <c r="A184" s="1" t="s">
        <v>22</v>
      </c>
      <c r="B184" s="5">
        <f>((1*10^3)/(6*B183))</f>
        <v>0.71484738008435189</v>
      </c>
      <c r="C184" s="5">
        <f t="shared" ref="C184:G184" si="26">((1*10^3)/(6*C183))</f>
        <v>0.61016535481115386</v>
      </c>
      <c r="D184" s="5">
        <f t="shared" si="26"/>
        <v>0.52884869638796339</v>
      </c>
      <c r="E184" s="5">
        <f t="shared" si="26"/>
        <v>0.47194298928689421</v>
      </c>
      <c r="F184" s="5">
        <f t="shared" si="26"/>
        <v>0.42392640637585322</v>
      </c>
      <c r="G184" s="5">
        <f t="shared" si="26"/>
        <v>0.38477817538189241</v>
      </c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L122"/>
  <sheetViews>
    <sheetView topLeftCell="A118" workbookViewId="0">
      <selection activeCell="F125" sqref="F125"/>
    </sheetView>
  </sheetViews>
  <sheetFormatPr baseColWidth="10" defaultRowHeight="15" x14ac:dyDescent="0.25"/>
  <cols>
    <col min="2" max="4" width="12.7109375" bestFit="1" customWidth="1"/>
    <col min="7" max="7" width="12.7109375" bestFit="1" customWidth="1"/>
    <col min="9" max="11" width="12" bestFit="1" customWidth="1"/>
  </cols>
  <sheetData>
    <row r="11" spans="1:12" x14ac:dyDescent="0.25">
      <c r="A11" s="1" t="s">
        <v>7</v>
      </c>
      <c r="B11" s="1" t="s">
        <v>0</v>
      </c>
      <c r="C11" s="1" t="s">
        <v>1</v>
      </c>
      <c r="D11" s="6" t="s">
        <v>2</v>
      </c>
      <c r="E11" s="6" t="s">
        <v>24</v>
      </c>
      <c r="F11" s="6" t="s">
        <v>25</v>
      </c>
      <c r="G11" s="6" t="s">
        <v>3</v>
      </c>
      <c r="H11" s="6" t="s">
        <v>30</v>
      </c>
      <c r="I11" s="6" t="s">
        <v>31</v>
      </c>
      <c r="J11" s="6" t="s">
        <v>32</v>
      </c>
      <c r="K11" s="6" t="s">
        <v>4</v>
      </c>
      <c r="L11" s="6" t="s">
        <v>43</v>
      </c>
    </row>
    <row r="12" spans="1:12" x14ac:dyDescent="0.25">
      <c r="A12" s="1">
        <v>1</v>
      </c>
      <c r="B12" s="1">
        <v>6</v>
      </c>
      <c r="C12" s="1">
        <v>29</v>
      </c>
      <c r="D12" s="1">
        <f>B12^2</f>
        <v>36</v>
      </c>
      <c r="E12" s="1">
        <f>B12^3</f>
        <v>216</v>
      </c>
      <c r="F12" s="1">
        <f>B12^4</f>
        <v>1296</v>
      </c>
      <c r="G12" s="1">
        <f>B12*C12</f>
        <v>174</v>
      </c>
      <c r="H12" s="1">
        <f>D12*C12</f>
        <v>1044</v>
      </c>
      <c r="I12" s="1">
        <f>E12*C12</f>
        <v>6264</v>
      </c>
      <c r="J12" s="1">
        <f>F12*C12</f>
        <v>37584</v>
      </c>
      <c r="K12" s="1">
        <f>(($G$30)+($G$31*B12)+($G$32*D12))</f>
        <v>27.091757399585966</v>
      </c>
      <c r="L12" s="1">
        <f>(C12-K12)^2</f>
        <v>3.6413898220349163</v>
      </c>
    </row>
    <row r="13" spans="1:12" x14ac:dyDescent="0.25">
      <c r="A13" s="1">
        <v>2</v>
      </c>
      <c r="B13" s="1">
        <v>7</v>
      </c>
      <c r="C13" s="1">
        <v>21</v>
      </c>
      <c r="D13" s="1">
        <f t="shared" ref="D13:D22" si="0">B13^2</f>
        <v>49</v>
      </c>
      <c r="E13" s="1">
        <f t="shared" ref="E13:E22" si="1">B13^3</f>
        <v>343</v>
      </c>
      <c r="F13" s="1">
        <f t="shared" ref="F13:F22" si="2">B13^4</f>
        <v>2401</v>
      </c>
      <c r="G13" s="1">
        <f t="shared" ref="G13:G22" si="3">B13*C13</f>
        <v>147</v>
      </c>
      <c r="H13" s="1">
        <f t="shared" ref="H13:H22" si="4">D13*C13</f>
        <v>1029</v>
      </c>
      <c r="I13" s="1">
        <f t="shared" ref="I13:I22" si="5">E13*C13</f>
        <v>7203</v>
      </c>
      <c r="J13" s="1">
        <f t="shared" ref="J13:J22" si="6">F13*C13</f>
        <v>50421</v>
      </c>
      <c r="K13" s="1">
        <f t="shared" ref="K13:K22" si="7">(($G$30)+($G$31*B13)+($G$32*D13))</f>
        <v>26.157086335072034</v>
      </c>
      <c r="L13" s="1">
        <f t="shared" ref="L13:L22" si="8">(C13-K13)^2</f>
        <v>26.5955394673867</v>
      </c>
    </row>
    <row r="14" spans="1:12" x14ac:dyDescent="0.25">
      <c r="A14" s="1">
        <v>3</v>
      </c>
      <c r="B14" s="1">
        <v>11</v>
      </c>
      <c r="C14" s="1">
        <v>29</v>
      </c>
      <c r="D14" s="1">
        <f t="shared" si="0"/>
        <v>121</v>
      </c>
      <c r="E14" s="1">
        <f t="shared" si="1"/>
        <v>1331</v>
      </c>
      <c r="F14" s="1">
        <f t="shared" si="2"/>
        <v>14641</v>
      </c>
      <c r="G14" s="1">
        <f t="shared" si="3"/>
        <v>319</v>
      </c>
      <c r="H14" s="1">
        <f t="shared" si="4"/>
        <v>3509</v>
      </c>
      <c r="I14" s="1">
        <f t="shared" si="5"/>
        <v>38599</v>
      </c>
      <c r="J14" s="1">
        <f t="shared" si="6"/>
        <v>424589</v>
      </c>
      <c r="K14" s="1">
        <f t="shared" si="7"/>
        <v>22.516258717118944</v>
      </c>
      <c r="L14" s="1">
        <f t="shared" si="8"/>
        <v>42.038901023336081</v>
      </c>
    </row>
    <row r="15" spans="1:12" x14ac:dyDescent="0.25">
      <c r="A15" s="1">
        <v>4</v>
      </c>
      <c r="B15" s="1">
        <v>15</v>
      </c>
      <c r="C15" s="1">
        <v>14</v>
      </c>
      <c r="D15" s="1">
        <f t="shared" si="0"/>
        <v>225</v>
      </c>
      <c r="E15" s="1">
        <f t="shared" si="1"/>
        <v>3375</v>
      </c>
      <c r="F15" s="1">
        <f t="shared" si="2"/>
        <v>50625</v>
      </c>
      <c r="G15" s="1">
        <f t="shared" si="3"/>
        <v>210</v>
      </c>
      <c r="H15" s="1">
        <f t="shared" si="4"/>
        <v>3150</v>
      </c>
      <c r="I15" s="1">
        <f t="shared" si="5"/>
        <v>47250</v>
      </c>
      <c r="J15" s="1">
        <f t="shared" si="6"/>
        <v>708750</v>
      </c>
      <c r="K15" s="1">
        <f t="shared" si="7"/>
        <v>19.032001723330083</v>
      </c>
      <c r="L15" s="1">
        <f t="shared" si="8"/>
        <v>25.321041343596928</v>
      </c>
    </row>
    <row r="16" spans="1:12" x14ac:dyDescent="0.25">
      <c r="A16" s="1">
        <v>5</v>
      </c>
      <c r="B16" s="1">
        <v>17</v>
      </c>
      <c r="C16" s="1">
        <v>21</v>
      </c>
      <c r="D16" s="1">
        <f t="shared" si="0"/>
        <v>289</v>
      </c>
      <c r="E16" s="1">
        <f t="shared" si="1"/>
        <v>4913</v>
      </c>
      <c r="F16" s="1">
        <f t="shared" si="2"/>
        <v>83521</v>
      </c>
      <c r="G16" s="1">
        <f t="shared" si="3"/>
        <v>357</v>
      </c>
      <c r="H16" s="1">
        <f t="shared" si="4"/>
        <v>6069</v>
      </c>
      <c r="I16" s="1">
        <f t="shared" si="5"/>
        <v>103173</v>
      </c>
      <c r="J16" s="1">
        <f t="shared" si="6"/>
        <v>1753941</v>
      </c>
      <c r="K16" s="1">
        <f t="shared" si="7"/>
        <v>17.348587210497239</v>
      </c>
      <c r="L16" s="1">
        <f t="shared" si="8"/>
        <v>13.332815359344332</v>
      </c>
    </row>
    <row r="17" spans="1:12" x14ac:dyDescent="0.25">
      <c r="A17" s="1">
        <v>6</v>
      </c>
      <c r="B17" s="1">
        <v>21</v>
      </c>
      <c r="C17" s="1">
        <v>15</v>
      </c>
      <c r="D17" s="1">
        <f t="shared" si="0"/>
        <v>441</v>
      </c>
      <c r="E17" s="1">
        <f t="shared" si="1"/>
        <v>9261</v>
      </c>
      <c r="F17" s="1">
        <f t="shared" si="2"/>
        <v>194481</v>
      </c>
      <c r="G17" s="1">
        <f t="shared" si="3"/>
        <v>315</v>
      </c>
      <c r="H17" s="1">
        <f t="shared" si="4"/>
        <v>6615</v>
      </c>
      <c r="I17" s="1">
        <f t="shared" si="5"/>
        <v>138915</v>
      </c>
      <c r="J17" s="1">
        <f t="shared" si="6"/>
        <v>2917215</v>
      </c>
      <c r="K17" s="1">
        <f t="shared" si="7"/>
        <v>14.099186152954726</v>
      </c>
      <c r="L17" s="1">
        <f t="shared" si="8"/>
        <v>0.81146558702850669</v>
      </c>
    </row>
    <row r="18" spans="1:12" x14ac:dyDescent="0.25">
      <c r="A18" s="1">
        <v>7</v>
      </c>
      <c r="B18" s="1">
        <v>23</v>
      </c>
      <c r="C18" s="1">
        <v>7</v>
      </c>
      <c r="D18" s="1">
        <f t="shared" si="0"/>
        <v>529</v>
      </c>
      <c r="E18" s="1">
        <f t="shared" si="1"/>
        <v>12167</v>
      </c>
      <c r="F18" s="1">
        <f t="shared" si="2"/>
        <v>279841</v>
      </c>
      <c r="G18" s="1">
        <f t="shared" si="3"/>
        <v>161</v>
      </c>
      <c r="H18" s="1">
        <f t="shared" si="4"/>
        <v>3703</v>
      </c>
      <c r="I18" s="1">
        <f t="shared" si="5"/>
        <v>85169</v>
      </c>
      <c r="J18" s="1">
        <f t="shared" si="6"/>
        <v>1958887</v>
      </c>
      <c r="K18" s="1">
        <f t="shared" si="7"/>
        <v>12.533199608245054</v>
      </c>
      <c r="L18" s="1">
        <f t="shared" si="8"/>
        <v>30.616297904683218</v>
      </c>
    </row>
    <row r="19" spans="1:12" x14ac:dyDescent="0.25">
      <c r="A19" s="1">
        <v>8</v>
      </c>
      <c r="B19" s="1">
        <v>29</v>
      </c>
      <c r="C19" s="1">
        <v>7</v>
      </c>
      <c r="D19" s="1">
        <f t="shared" si="0"/>
        <v>841</v>
      </c>
      <c r="E19" s="1">
        <f t="shared" si="1"/>
        <v>24389</v>
      </c>
      <c r="F19" s="1">
        <f t="shared" si="2"/>
        <v>707281</v>
      </c>
      <c r="G19" s="1">
        <f t="shared" si="3"/>
        <v>203</v>
      </c>
      <c r="H19" s="1">
        <f t="shared" si="4"/>
        <v>5887</v>
      </c>
      <c r="I19" s="1">
        <f t="shared" si="5"/>
        <v>170723</v>
      </c>
      <c r="J19" s="1">
        <f t="shared" si="6"/>
        <v>4950967</v>
      </c>
      <c r="K19" s="1">
        <f t="shared" si="7"/>
        <v>8.0700959103623848</v>
      </c>
      <c r="L19" s="1">
        <f t="shared" si="8"/>
        <v>1.1451052573743012</v>
      </c>
    </row>
    <row r="20" spans="1:12" x14ac:dyDescent="0.25">
      <c r="A20" s="1">
        <v>9</v>
      </c>
      <c r="B20" s="1">
        <v>29</v>
      </c>
      <c r="C20" s="1">
        <v>13</v>
      </c>
      <c r="D20" s="1">
        <f t="shared" si="0"/>
        <v>841</v>
      </c>
      <c r="E20" s="1">
        <f t="shared" si="1"/>
        <v>24389</v>
      </c>
      <c r="F20" s="1">
        <f t="shared" si="2"/>
        <v>707281</v>
      </c>
      <c r="G20" s="1">
        <f t="shared" si="3"/>
        <v>377</v>
      </c>
      <c r="H20" s="1">
        <f t="shared" si="4"/>
        <v>10933</v>
      </c>
      <c r="I20" s="1">
        <f t="shared" si="5"/>
        <v>317057</v>
      </c>
      <c r="J20" s="1">
        <f t="shared" si="6"/>
        <v>9194653</v>
      </c>
      <c r="K20" s="1">
        <f t="shared" si="7"/>
        <v>8.0700959103623848</v>
      </c>
      <c r="L20" s="1">
        <f t="shared" si="8"/>
        <v>24.303954333025683</v>
      </c>
    </row>
    <row r="21" spans="1:12" x14ac:dyDescent="0.25">
      <c r="A21" s="1">
        <v>10</v>
      </c>
      <c r="B21" s="1">
        <v>37</v>
      </c>
      <c r="C21" s="1">
        <v>0</v>
      </c>
      <c r="D21" s="1">
        <f t="shared" si="0"/>
        <v>1369</v>
      </c>
      <c r="E21" s="1">
        <f t="shared" si="1"/>
        <v>50653</v>
      </c>
      <c r="F21" s="1">
        <f t="shared" si="2"/>
        <v>1874161</v>
      </c>
      <c r="G21" s="1">
        <f t="shared" si="3"/>
        <v>0</v>
      </c>
      <c r="H21" s="1">
        <f t="shared" si="4"/>
        <v>0</v>
      </c>
      <c r="I21" s="1">
        <f t="shared" si="5"/>
        <v>0</v>
      </c>
      <c r="J21" s="1">
        <f t="shared" si="6"/>
        <v>0</v>
      </c>
      <c r="K21" s="1">
        <f t="shared" si="7"/>
        <v>2.6672881644269646</v>
      </c>
      <c r="L21" s="1">
        <f t="shared" si="8"/>
        <v>7.1144261520921663</v>
      </c>
    </row>
    <row r="22" spans="1:12" x14ac:dyDescent="0.25">
      <c r="A22" s="1">
        <v>11</v>
      </c>
      <c r="B22" s="1">
        <v>39</v>
      </c>
      <c r="C22" s="1">
        <v>3</v>
      </c>
      <c r="D22" s="1">
        <f t="shared" si="0"/>
        <v>1521</v>
      </c>
      <c r="E22" s="1">
        <f t="shared" si="1"/>
        <v>59319</v>
      </c>
      <c r="F22" s="1">
        <f t="shared" si="2"/>
        <v>2313441</v>
      </c>
      <c r="G22" s="1">
        <f t="shared" si="3"/>
        <v>117</v>
      </c>
      <c r="H22" s="1">
        <f t="shared" si="4"/>
        <v>4563</v>
      </c>
      <c r="I22" s="1">
        <f t="shared" si="5"/>
        <v>177957</v>
      </c>
      <c r="J22" s="1">
        <f t="shared" si="6"/>
        <v>6940323</v>
      </c>
      <c r="K22" s="1">
        <f t="shared" si="7"/>
        <v>1.4144428680457537</v>
      </c>
      <c r="L22" s="1">
        <f t="shared" si="8"/>
        <v>2.5139914186909751</v>
      </c>
    </row>
    <row r="23" spans="1:12" x14ac:dyDescent="0.25">
      <c r="A23" s="1" t="s">
        <v>49</v>
      </c>
      <c r="B23" s="1">
        <f>SUM(B12:B22)</f>
        <v>234</v>
      </c>
      <c r="C23" s="1">
        <f t="shared" ref="C23:I23" si="9">SUM(C12:C22)</f>
        <v>159</v>
      </c>
      <c r="D23" s="1">
        <f t="shared" si="9"/>
        <v>6262</v>
      </c>
      <c r="E23" s="1">
        <f t="shared" si="9"/>
        <v>190356</v>
      </c>
      <c r="F23" s="1">
        <f t="shared" si="9"/>
        <v>6228970</v>
      </c>
      <c r="G23" s="1">
        <f t="shared" si="9"/>
        <v>2380</v>
      </c>
      <c r="H23" s="1">
        <f t="shared" ref="H23" si="10">SUM(H12:H22)</f>
        <v>46502</v>
      </c>
      <c r="I23" s="1">
        <f t="shared" ref="I23" si="11">SUM(I12:I22)</f>
        <v>1092310</v>
      </c>
      <c r="J23" s="1">
        <f t="shared" ref="J23" si="12">SUM(J12:J22)</f>
        <v>28937330</v>
      </c>
      <c r="K23" s="1">
        <f>SUM(K12:K22)</f>
        <v>159.00000000000153</v>
      </c>
      <c r="L23" s="1">
        <f>SUM(L12:L22)</f>
        <v>177.43492766859382</v>
      </c>
    </row>
    <row r="26" spans="1:12" x14ac:dyDescent="0.25">
      <c r="A26" t="s">
        <v>34</v>
      </c>
      <c r="B26" s="1">
        <f>A22</f>
        <v>11</v>
      </c>
      <c r="C26" s="1">
        <f>B23</f>
        <v>234</v>
      </c>
      <c r="D26" s="1">
        <f>D23</f>
        <v>6262</v>
      </c>
      <c r="F26" t="s">
        <v>35</v>
      </c>
      <c r="G26" s="1">
        <f>C23</f>
        <v>159</v>
      </c>
      <c r="I26" t="s">
        <v>14</v>
      </c>
      <c r="J26" s="1">
        <f>L23</f>
        <v>177.43492766859382</v>
      </c>
    </row>
    <row r="27" spans="1:12" x14ac:dyDescent="0.25">
      <c r="B27" s="1">
        <f>C26</f>
        <v>234</v>
      </c>
      <c r="C27" s="1">
        <f>D26</f>
        <v>6262</v>
      </c>
      <c r="D27" s="1">
        <f>E23</f>
        <v>190356</v>
      </c>
      <c r="G27" s="1">
        <f>G23</f>
        <v>2380</v>
      </c>
      <c r="I27" t="s">
        <v>44</v>
      </c>
      <c r="J27" s="1">
        <f>SQRT(J26/9)</f>
        <v>4.4401567498430827</v>
      </c>
    </row>
    <row r="28" spans="1:12" x14ac:dyDescent="0.25">
      <c r="B28" s="1">
        <f>C27</f>
        <v>6262</v>
      </c>
      <c r="C28" s="1">
        <f>D27</f>
        <v>190356</v>
      </c>
      <c r="D28" s="1">
        <f>F23</f>
        <v>6228970</v>
      </c>
      <c r="G28" s="1">
        <f>H23</f>
        <v>46502</v>
      </c>
    </row>
    <row r="29" spans="1:12" x14ac:dyDescent="0.25">
      <c r="G29" s="10"/>
    </row>
    <row r="30" spans="1:12" x14ac:dyDescent="0.25">
      <c r="A30" t="s">
        <v>53</v>
      </c>
      <c r="B30" s="1">
        <f t="array" ref="B30:D32">MINVERSE(B26:D28)</f>
        <v>1.6184922306147416</v>
      </c>
      <c r="C30" s="1">
        <v>-0.15514798619725698</v>
      </c>
      <c r="D30" s="1">
        <v>3.1142149845729819E-3</v>
      </c>
      <c r="F30" t="s">
        <v>38</v>
      </c>
      <c r="G30" s="1">
        <f t="array" ref="G30:G32">MMULT(B30:D32,G26:G28)</f>
        <v>32.905282730885119</v>
      </c>
    </row>
    <row r="31" spans="1:12" x14ac:dyDescent="0.25">
      <c r="B31" s="1">
        <v>-0.15514798619725692</v>
      </c>
      <c r="C31" s="1">
        <v>1.7120819055705141E-2</v>
      </c>
      <c r="D31" s="1">
        <v>-3.67237912945573E-4</v>
      </c>
      <c r="F31" t="s">
        <v>39</v>
      </c>
      <c r="G31" s="1">
        <v>-0.99827788058065181</v>
      </c>
    </row>
    <row r="32" spans="1:12" x14ac:dyDescent="0.25">
      <c r="B32" s="1">
        <v>3.1142149845729754E-3</v>
      </c>
      <c r="C32" s="1">
        <v>-3.6723791294557279E-4</v>
      </c>
      <c r="D32" s="1">
        <v>8.2525242412905318E-6</v>
      </c>
      <c r="F32" t="s">
        <v>40</v>
      </c>
      <c r="G32" s="1">
        <v>4.8928320051321861E-3</v>
      </c>
    </row>
    <row r="44" spans="1:10" x14ac:dyDescent="0.25">
      <c r="A44" s="1" t="s">
        <v>7</v>
      </c>
      <c r="B44" s="1" t="s">
        <v>0</v>
      </c>
      <c r="C44" s="1" t="s">
        <v>1</v>
      </c>
      <c r="D44" s="6" t="s">
        <v>2</v>
      </c>
      <c r="E44" s="6" t="s">
        <v>24</v>
      </c>
      <c r="F44" s="1" t="s">
        <v>25</v>
      </c>
      <c r="G44" s="6" t="s">
        <v>3</v>
      </c>
      <c r="H44" s="6" t="s">
        <v>30</v>
      </c>
      <c r="I44" s="6" t="s">
        <v>4</v>
      </c>
      <c r="J44" s="6" t="s">
        <v>43</v>
      </c>
    </row>
    <row r="45" spans="1:10" x14ac:dyDescent="0.25">
      <c r="A45" s="1">
        <v>1</v>
      </c>
      <c r="B45" s="1">
        <v>10</v>
      </c>
      <c r="C45" s="1">
        <v>5</v>
      </c>
      <c r="D45" s="1">
        <f>B45^2</f>
        <v>100</v>
      </c>
      <c r="E45" s="1">
        <f>B45^3</f>
        <v>1000</v>
      </c>
      <c r="F45" s="1">
        <f>B45^4</f>
        <v>10000</v>
      </c>
      <c r="G45" s="1">
        <f>B45*C45</f>
        <v>50</v>
      </c>
      <c r="H45" s="1">
        <f>D45*C45</f>
        <v>500</v>
      </c>
      <c r="I45" s="1">
        <f>$G$62+($G$63*B45)+($G$64*D45)</f>
        <v>9.6890898400270835</v>
      </c>
      <c r="J45" s="1">
        <f>(C45-I45)^2</f>
        <v>21.987563527845218</v>
      </c>
    </row>
    <row r="46" spans="1:10" x14ac:dyDescent="0.25">
      <c r="A46" s="1">
        <v>2</v>
      </c>
      <c r="B46" s="1">
        <v>15</v>
      </c>
      <c r="C46" s="1">
        <v>20</v>
      </c>
      <c r="D46" s="1">
        <f t="shared" ref="D46:D53" si="13">B46^2</f>
        <v>225</v>
      </c>
      <c r="E46" s="1">
        <f t="shared" ref="E46:E53" si="14">B46^3</f>
        <v>3375</v>
      </c>
      <c r="F46" s="1">
        <f t="shared" ref="F46:F53" si="15">B46^4</f>
        <v>50625</v>
      </c>
      <c r="G46" s="1">
        <f t="shared" ref="G46:G53" si="16">B46*C46</f>
        <v>300</v>
      </c>
      <c r="H46" s="1">
        <f t="shared" ref="H46:H53" si="17">D46*C46</f>
        <v>4500</v>
      </c>
      <c r="I46" s="1">
        <f t="shared" ref="I46:I53" si="18">$G$62+($G$63*B46)+($G$64*D46)</f>
        <v>15.982548339787046</v>
      </c>
      <c r="J46" s="1">
        <f t="shared" ref="J46:J53" si="19">(C46-I46)^2</f>
        <v>16.13991784214782</v>
      </c>
    </row>
    <row r="47" spans="1:10" x14ac:dyDescent="0.25">
      <c r="A47" s="1">
        <v>3</v>
      </c>
      <c r="B47" s="1">
        <v>20</v>
      </c>
      <c r="C47" s="1">
        <v>18</v>
      </c>
      <c r="D47" s="1">
        <f t="shared" si="13"/>
        <v>400</v>
      </c>
      <c r="E47" s="1">
        <f t="shared" si="14"/>
        <v>8000</v>
      </c>
      <c r="F47" s="1">
        <f t="shared" si="15"/>
        <v>160000</v>
      </c>
      <c r="G47" s="1">
        <f t="shared" si="16"/>
        <v>360</v>
      </c>
      <c r="H47" s="1">
        <f t="shared" si="17"/>
        <v>7200</v>
      </c>
      <c r="I47" s="1">
        <f t="shared" si="18"/>
        <v>22.099008535917061</v>
      </c>
      <c r="J47" s="1">
        <f t="shared" si="19"/>
        <v>16.801870977520931</v>
      </c>
    </row>
    <row r="48" spans="1:10" x14ac:dyDescent="0.25">
      <c r="A48" s="1">
        <v>4</v>
      </c>
      <c r="B48" s="1">
        <v>25</v>
      </c>
      <c r="C48" s="1">
        <v>40</v>
      </c>
      <c r="D48" s="1">
        <f t="shared" si="13"/>
        <v>625</v>
      </c>
      <c r="E48" s="1">
        <f t="shared" si="14"/>
        <v>15625</v>
      </c>
      <c r="F48" s="1">
        <f t="shared" si="15"/>
        <v>390625</v>
      </c>
      <c r="G48" s="1">
        <f t="shared" si="16"/>
        <v>1000</v>
      </c>
      <c r="H48" s="1">
        <f t="shared" si="17"/>
        <v>25000</v>
      </c>
      <c r="I48" s="1">
        <f t="shared" si="18"/>
        <v>28.038470428417128</v>
      </c>
      <c r="J48" s="1">
        <f t="shared" si="19"/>
        <v>143.07818969185152</v>
      </c>
    </row>
    <row r="49" spans="1:10" x14ac:dyDescent="0.25">
      <c r="A49" s="1">
        <v>5</v>
      </c>
      <c r="B49" s="1">
        <v>40</v>
      </c>
      <c r="C49" s="1">
        <v>33</v>
      </c>
      <c r="D49" s="1">
        <f t="shared" si="13"/>
        <v>1600</v>
      </c>
      <c r="E49" s="1">
        <f t="shared" si="14"/>
        <v>64000</v>
      </c>
      <c r="F49" s="1">
        <f t="shared" si="15"/>
        <v>2560000</v>
      </c>
      <c r="G49" s="1">
        <f t="shared" si="16"/>
        <v>1320</v>
      </c>
      <c r="H49" s="1">
        <f t="shared" si="17"/>
        <v>52800</v>
      </c>
      <c r="I49" s="1">
        <f t="shared" si="18"/>
        <v>44.794866284137626</v>
      </c>
      <c r="J49" s="1">
        <f t="shared" si="19"/>
        <v>139.11887066068653</v>
      </c>
    </row>
    <row r="50" spans="1:10" x14ac:dyDescent="0.25">
      <c r="A50" s="1">
        <v>6</v>
      </c>
      <c r="B50" s="1">
        <v>50</v>
      </c>
      <c r="C50" s="1">
        <v>54</v>
      </c>
      <c r="D50" s="1">
        <f t="shared" si="13"/>
        <v>2500</v>
      </c>
      <c r="E50" s="1">
        <f t="shared" si="14"/>
        <v>125000</v>
      </c>
      <c r="F50" s="1">
        <f t="shared" si="15"/>
        <v>6250000</v>
      </c>
      <c r="G50" s="1">
        <f t="shared" si="16"/>
        <v>2700</v>
      </c>
      <c r="H50" s="1">
        <f t="shared" si="17"/>
        <v>135000</v>
      </c>
      <c r="I50" s="1">
        <f t="shared" si="18"/>
        <v>55.080805336468217</v>
      </c>
      <c r="J50" s="1">
        <f t="shared" si="19"/>
        <v>1.168140175338175</v>
      </c>
    </row>
    <row r="51" spans="1:10" x14ac:dyDescent="0.25">
      <c r="A51" s="1">
        <v>7</v>
      </c>
      <c r="B51" s="1">
        <v>55</v>
      </c>
      <c r="C51" s="1">
        <v>70</v>
      </c>
      <c r="D51" s="1">
        <f t="shared" si="13"/>
        <v>3025</v>
      </c>
      <c r="E51" s="1">
        <f t="shared" si="14"/>
        <v>166375</v>
      </c>
      <c r="F51" s="1">
        <f t="shared" si="15"/>
        <v>9150625</v>
      </c>
      <c r="G51" s="1">
        <f t="shared" si="16"/>
        <v>3850</v>
      </c>
      <c r="H51" s="1">
        <f t="shared" si="17"/>
        <v>211750</v>
      </c>
      <c r="I51" s="1">
        <f t="shared" si="18"/>
        <v>59.958277407188582</v>
      </c>
      <c r="J51" s="1">
        <f t="shared" si="19"/>
        <v>100.83619263097927</v>
      </c>
    </row>
    <row r="52" spans="1:10" x14ac:dyDescent="0.25">
      <c r="A52" s="1">
        <v>8</v>
      </c>
      <c r="B52" s="1">
        <v>60</v>
      </c>
      <c r="C52" s="1">
        <v>60</v>
      </c>
      <c r="D52" s="1">
        <f t="shared" si="13"/>
        <v>3600</v>
      </c>
      <c r="E52" s="1">
        <f t="shared" si="14"/>
        <v>216000</v>
      </c>
      <c r="F52" s="1">
        <f t="shared" si="15"/>
        <v>12960000</v>
      </c>
      <c r="G52" s="1">
        <f t="shared" si="16"/>
        <v>3600</v>
      </c>
      <c r="H52" s="1">
        <f t="shared" si="17"/>
        <v>216000</v>
      </c>
      <c r="I52" s="1">
        <f t="shared" si="18"/>
        <v>64.658751174279004</v>
      </c>
      <c r="J52" s="1">
        <f t="shared" si="19"/>
        <v>21.703962503846</v>
      </c>
    </row>
    <row r="53" spans="1:10" x14ac:dyDescent="0.25">
      <c r="A53" s="1">
        <v>9</v>
      </c>
      <c r="B53" s="1">
        <v>75</v>
      </c>
      <c r="C53" s="1">
        <v>78</v>
      </c>
      <c r="D53" s="1">
        <f t="shared" si="13"/>
        <v>5625</v>
      </c>
      <c r="E53" s="1">
        <f t="shared" si="14"/>
        <v>421875</v>
      </c>
      <c r="F53" s="1">
        <f t="shared" si="15"/>
        <v>31640625</v>
      </c>
      <c r="G53" s="1">
        <f t="shared" si="16"/>
        <v>5850</v>
      </c>
      <c r="H53" s="1">
        <f t="shared" si="17"/>
        <v>438750</v>
      </c>
      <c r="I53" s="1">
        <f t="shared" si="18"/>
        <v>77.698182653770559</v>
      </c>
      <c r="J53" s="1">
        <f t="shared" si="19"/>
        <v>9.1093710484982465E-2</v>
      </c>
    </row>
    <row r="54" spans="1:10" x14ac:dyDescent="0.25">
      <c r="A54" s="1" t="s">
        <v>6</v>
      </c>
      <c r="B54" s="1">
        <f>SUM(B45:B53)</f>
        <v>350</v>
      </c>
      <c r="C54" s="1">
        <f t="shared" ref="C54:J54" si="20">SUM(C45:C53)</f>
        <v>378</v>
      </c>
      <c r="D54" s="1">
        <f t="shared" si="20"/>
        <v>17700</v>
      </c>
      <c r="E54" s="1">
        <f t="shared" si="20"/>
        <v>1021250</v>
      </c>
      <c r="F54" s="1">
        <f t="shared" si="20"/>
        <v>63172500</v>
      </c>
      <c r="G54" s="1">
        <f t="shared" si="20"/>
        <v>19030</v>
      </c>
      <c r="H54" s="1">
        <f t="shared" si="20"/>
        <v>1091500</v>
      </c>
      <c r="I54" s="1">
        <f t="shared" si="20"/>
        <v>377.99999999999233</v>
      </c>
      <c r="J54" s="1">
        <f t="shared" si="20"/>
        <v>460.92580172070046</v>
      </c>
    </row>
    <row r="58" spans="1:10" x14ac:dyDescent="0.25">
      <c r="A58" t="s">
        <v>45</v>
      </c>
      <c r="B58" s="1">
        <f>A53</f>
        <v>9</v>
      </c>
      <c r="C58" s="1">
        <f>B54</f>
        <v>350</v>
      </c>
      <c r="D58" s="1">
        <f>D54</f>
        <v>17700</v>
      </c>
      <c r="F58" t="s">
        <v>51</v>
      </c>
      <c r="G58" s="1">
        <f>C54</f>
        <v>378</v>
      </c>
      <c r="I58" t="s">
        <v>56</v>
      </c>
      <c r="J58" s="1">
        <f>J54</f>
        <v>460.92580172070046</v>
      </c>
    </row>
    <row r="59" spans="1:10" x14ac:dyDescent="0.25">
      <c r="B59" s="1">
        <f>C58</f>
        <v>350</v>
      </c>
      <c r="C59" s="1">
        <f>D58</f>
        <v>17700</v>
      </c>
      <c r="D59" s="1">
        <f>E54</f>
        <v>1021250</v>
      </c>
      <c r="G59" s="1">
        <f>G54</f>
        <v>19030</v>
      </c>
      <c r="I59" t="s">
        <v>44</v>
      </c>
      <c r="J59" s="1">
        <f>SQRT(J58/7)</f>
        <v>8.1145882891836987</v>
      </c>
    </row>
    <row r="60" spans="1:10" x14ac:dyDescent="0.25">
      <c r="B60" s="1">
        <f>C59</f>
        <v>17700</v>
      </c>
      <c r="C60" s="1">
        <f>D59</f>
        <v>1021250</v>
      </c>
      <c r="D60" s="1">
        <f>F54</f>
        <v>63172500</v>
      </c>
      <c r="G60" s="1">
        <f>H54</f>
        <v>1091500</v>
      </c>
    </row>
    <row r="62" spans="1:10" x14ac:dyDescent="0.25">
      <c r="A62" t="s">
        <v>55</v>
      </c>
      <c r="B62" s="1">
        <f t="array" ref="B62:D64">MINVERSE(B58:D60)</f>
        <v>1.6263890296898413</v>
      </c>
      <c r="C62" s="1">
        <v>-8.724883923683531E-2</v>
      </c>
      <c r="D62" s="1">
        <v>9.5477923534936619E-4</v>
      </c>
      <c r="F62" t="s">
        <v>38</v>
      </c>
      <c r="G62" s="1">
        <f t="array" ref="G62:G64">MMULT(B62:D64,G58:G60)</f>
        <v>-3.4288220703826937</v>
      </c>
    </row>
    <row r="63" spans="1:10" x14ac:dyDescent="0.25">
      <c r="B63" s="1">
        <v>-8.7248839236835338E-2</v>
      </c>
      <c r="C63" s="1">
        <v>5.520569331522009E-3</v>
      </c>
      <c r="D63" s="1">
        <v>-6.4799983779727983E-5</v>
      </c>
      <c r="F63" t="s">
        <v>39</v>
      </c>
      <c r="G63" s="1">
        <v>1.3471908517669675</v>
      </c>
    </row>
    <row r="64" spans="1:10" x14ac:dyDescent="0.25">
      <c r="B64" s="1">
        <v>9.5477923534936727E-4</v>
      </c>
      <c r="C64" s="1">
        <v>-6.4799983779727997E-5</v>
      </c>
      <c r="D64" s="1">
        <v>7.9587464433675129E-7</v>
      </c>
      <c r="F64" t="s">
        <v>40</v>
      </c>
      <c r="G64" s="1">
        <v>-3.5399660725989879E-3</v>
      </c>
    </row>
    <row r="77" spans="1:12" x14ac:dyDescent="0.25">
      <c r="A77" s="1" t="s">
        <v>7</v>
      </c>
      <c r="B77" s="1" t="s">
        <v>0</v>
      </c>
      <c r="C77" s="1" t="s">
        <v>1</v>
      </c>
      <c r="D77" s="6" t="s">
        <v>2</v>
      </c>
      <c r="E77" s="6" t="s">
        <v>24</v>
      </c>
      <c r="F77" s="1" t="s">
        <v>25</v>
      </c>
      <c r="G77" s="6" t="s">
        <v>3</v>
      </c>
      <c r="H77" s="6" t="s">
        <v>30</v>
      </c>
      <c r="I77" s="6" t="s">
        <v>31</v>
      </c>
      <c r="J77" s="6" t="s">
        <v>59</v>
      </c>
      <c r="K77" s="6" t="s">
        <v>4</v>
      </c>
      <c r="L77" s="6" t="s">
        <v>43</v>
      </c>
    </row>
    <row r="78" spans="1:12" x14ac:dyDescent="0.25">
      <c r="A78" s="1">
        <v>1</v>
      </c>
      <c r="B78" s="1">
        <v>-50</v>
      </c>
      <c r="C78" s="1">
        <v>1270</v>
      </c>
      <c r="D78" s="1">
        <f>B78^2</f>
        <v>2500</v>
      </c>
      <c r="E78" s="1">
        <f>B78^3</f>
        <v>-125000</v>
      </c>
      <c r="F78" s="1">
        <f>B78^4</f>
        <v>6250000</v>
      </c>
      <c r="G78" s="1">
        <f>B78*C78</f>
        <v>-63500</v>
      </c>
      <c r="H78" s="1">
        <f>D78*C78</f>
        <v>3175000</v>
      </c>
      <c r="I78" s="1">
        <f>E78*C78</f>
        <v>-158750000</v>
      </c>
      <c r="J78" s="1">
        <f>F78*C78</f>
        <v>7937500000</v>
      </c>
      <c r="K78" s="1">
        <f>$G$91+($G$92*B78)+($G$93*D78)</f>
        <v>1272.0580035662185</v>
      </c>
      <c r="L78" s="1">
        <f>(C78-K78)^2</f>
        <v>4.2353786785681917</v>
      </c>
    </row>
    <row r="79" spans="1:12" x14ac:dyDescent="0.25">
      <c r="A79" s="1">
        <v>2</v>
      </c>
      <c r="B79" s="1">
        <v>-30</v>
      </c>
      <c r="C79" s="1">
        <v>1280</v>
      </c>
      <c r="D79" s="1">
        <f t="shared" ref="D79:D83" si="21">B79^2</f>
        <v>900</v>
      </c>
      <c r="E79" s="1">
        <f t="shared" ref="E79:E83" si="22">B79^3</f>
        <v>-27000</v>
      </c>
      <c r="F79" s="1">
        <f t="shared" ref="F79:F83" si="23">B79^4</f>
        <v>810000</v>
      </c>
      <c r="G79" s="1">
        <f t="shared" ref="G79:G84" si="24">B79*C79</f>
        <v>-38400</v>
      </c>
      <c r="H79" s="1">
        <f t="shared" ref="H79:H84" si="25">D79*C79</f>
        <v>1152000</v>
      </c>
      <c r="I79" s="1">
        <f t="shared" ref="I79:I84" si="26">E79*C79</f>
        <v>-34560000</v>
      </c>
      <c r="J79" s="1">
        <f t="shared" ref="J79:J84" si="27">F79*C79</f>
        <v>1036800000</v>
      </c>
      <c r="K79" s="1">
        <f t="shared" ref="K79:K83" si="28">$G$91+($G$92*B79)+($G$93*D79)</f>
        <v>1287.9535401361013</v>
      </c>
      <c r="L79" s="1">
        <f t="shared" ref="L79:L83" si="29">(C79-K79)^2</f>
        <v>63.258800696574447</v>
      </c>
    </row>
    <row r="80" spans="1:12" x14ac:dyDescent="0.25">
      <c r="A80" s="1">
        <v>3</v>
      </c>
      <c r="B80" s="1">
        <v>0</v>
      </c>
      <c r="C80" s="1">
        <v>1350</v>
      </c>
      <c r="D80" s="1">
        <f t="shared" si="21"/>
        <v>0</v>
      </c>
      <c r="E80" s="1">
        <f t="shared" si="22"/>
        <v>0</v>
      </c>
      <c r="F80" s="1">
        <f t="shared" si="23"/>
        <v>0</v>
      </c>
      <c r="G80" s="1">
        <f t="shared" si="24"/>
        <v>0</v>
      </c>
      <c r="H80" s="1">
        <f t="shared" si="25"/>
        <v>0</v>
      </c>
      <c r="I80" s="1">
        <f t="shared" si="26"/>
        <v>0</v>
      </c>
      <c r="J80" s="1">
        <f t="shared" si="27"/>
        <v>0</v>
      </c>
      <c r="K80" s="1">
        <f t="shared" si="28"/>
        <v>1330.9517590499822</v>
      </c>
      <c r="L80" s="1">
        <f t="shared" si="29"/>
        <v>362.8354832899339</v>
      </c>
    </row>
    <row r="81" spans="1:12" x14ac:dyDescent="0.25">
      <c r="A81" s="1">
        <v>4</v>
      </c>
      <c r="B81" s="1">
        <v>60</v>
      </c>
      <c r="C81" s="1">
        <v>1480</v>
      </c>
      <c r="D81" s="1">
        <f t="shared" si="21"/>
        <v>3600</v>
      </c>
      <c r="E81" s="1">
        <f t="shared" si="22"/>
        <v>216000</v>
      </c>
      <c r="F81" s="1">
        <f t="shared" si="23"/>
        <v>12960000</v>
      </c>
      <c r="G81" s="1">
        <f t="shared" si="24"/>
        <v>88800</v>
      </c>
      <c r="H81" s="1">
        <f t="shared" si="25"/>
        <v>5328000</v>
      </c>
      <c r="I81" s="1">
        <f t="shared" si="26"/>
        <v>319680000</v>
      </c>
      <c r="J81" s="1">
        <f t="shared" si="27"/>
        <v>19180800000</v>
      </c>
      <c r="K81" s="1">
        <f t="shared" si="28"/>
        <v>1485.9058874903476</v>
      </c>
      <c r="L81" s="1">
        <f t="shared" si="29"/>
        <v>34.879507048644214</v>
      </c>
    </row>
    <row r="82" spans="1:12" x14ac:dyDescent="0.25">
      <c r="A82" s="1">
        <v>5</v>
      </c>
      <c r="B82" s="1">
        <v>90</v>
      </c>
      <c r="C82" s="1">
        <v>1580</v>
      </c>
      <c r="D82" s="1">
        <f t="shared" si="21"/>
        <v>8100</v>
      </c>
      <c r="E82" s="1">
        <f t="shared" si="22"/>
        <v>729000</v>
      </c>
      <c r="F82" s="1">
        <f t="shared" si="23"/>
        <v>65610000</v>
      </c>
      <c r="G82" s="1">
        <f t="shared" si="24"/>
        <v>142200</v>
      </c>
      <c r="H82" s="1">
        <f t="shared" si="25"/>
        <v>12798000</v>
      </c>
      <c r="I82" s="1">
        <f t="shared" si="26"/>
        <v>1151820000</v>
      </c>
      <c r="J82" s="1">
        <f t="shared" si="27"/>
        <v>103663800000</v>
      </c>
      <c r="K82" s="1">
        <f t="shared" si="28"/>
        <v>1597.861797016832</v>
      </c>
      <c r="L82" s="1">
        <f t="shared" si="29"/>
        <v>319.04379267051007</v>
      </c>
    </row>
    <row r="83" spans="1:12" x14ac:dyDescent="0.25">
      <c r="A83" s="7">
        <v>6</v>
      </c>
      <c r="B83" s="1">
        <v>110</v>
      </c>
      <c r="C83" s="1">
        <v>1700</v>
      </c>
      <c r="D83" s="1">
        <f t="shared" si="21"/>
        <v>12100</v>
      </c>
      <c r="E83" s="1">
        <f t="shared" si="22"/>
        <v>1331000</v>
      </c>
      <c r="F83" s="1">
        <f t="shared" si="23"/>
        <v>146410000</v>
      </c>
      <c r="G83" s="1">
        <f t="shared" si="24"/>
        <v>187000</v>
      </c>
      <c r="H83" s="1">
        <f t="shared" si="25"/>
        <v>20570000</v>
      </c>
      <c r="I83" s="1">
        <f t="shared" si="26"/>
        <v>2262700000</v>
      </c>
      <c r="J83" s="1">
        <f t="shared" si="27"/>
        <v>248897000000</v>
      </c>
      <c r="K83" s="1">
        <f t="shared" si="28"/>
        <v>1685.269012740526</v>
      </c>
      <c r="L83" s="1">
        <f t="shared" si="29"/>
        <v>217.00198563878465</v>
      </c>
    </row>
    <row r="84" spans="1:12" x14ac:dyDescent="0.25">
      <c r="A84" s="1" t="s">
        <v>47</v>
      </c>
      <c r="B84" s="1">
        <f>SUM(B78:B83)</f>
        <v>180</v>
      </c>
      <c r="C84" s="1">
        <f t="shared" ref="C84:L84" si="30">SUM(C78:C83)</f>
        <v>8660</v>
      </c>
      <c r="D84" s="1">
        <f t="shared" si="30"/>
        <v>27200</v>
      </c>
      <c r="E84" s="1">
        <f t="shared" si="30"/>
        <v>2124000</v>
      </c>
      <c r="F84" s="1">
        <f t="shared" si="30"/>
        <v>232040000</v>
      </c>
      <c r="G84" s="1">
        <f t="shared" si="30"/>
        <v>316100</v>
      </c>
      <c r="H84" s="1">
        <f t="shared" si="30"/>
        <v>43023000</v>
      </c>
      <c r="I84" s="1">
        <f t="shared" si="30"/>
        <v>3540890000</v>
      </c>
      <c r="J84" s="1">
        <f t="shared" si="30"/>
        <v>380715900000</v>
      </c>
      <c r="K84" s="1">
        <f t="shared" si="30"/>
        <v>8660.0000000000073</v>
      </c>
      <c r="L84" s="1">
        <f t="shared" si="30"/>
        <v>1001.2549480230155</v>
      </c>
    </row>
    <row r="87" spans="1:12" x14ac:dyDescent="0.25">
      <c r="A87" t="s">
        <v>34</v>
      </c>
      <c r="B87" s="1">
        <f>A83</f>
        <v>6</v>
      </c>
      <c r="C87" s="1">
        <f>B84</f>
        <v>180</v>
      </c>
      <c r="D87" s="1">
        <f>D84</f>
        <v>27200</v>
      </c>
      <c r="F87" t="s">
        <v>35</v>
      </c>
      <c r="G87" s="1">
        <f>C84</f>
        <v>8660</v>
      </c>
      <c r="I87" t="s">
        <v>56</v>
      </c>
      <c r="J87" s="1">
        <f>L84</f>
        <v>1001.2549480230155</v>
      </c>
    </row>
    <row r="88" spans="1:12" x14ac:dyDescent="0.25">
      <c r="B88" s="1">
        <f>C87</f>
        <v>180</v>
      </c>
      <c r="C88" s="1">
        <f>D87</f>
        <v>27200</v>
      </c>
      <c r="D88" s="1">
        <f>E84</f>
        <v>2124000</v>
      </c>
      <c r="G88" s="1">
        <f>G84</f>
        <v>316100</v>
      </c>
      <c r="I88" t="s">
        <v>58</v>
      </c>
      <c r="J88" s="1">
        <f>SQRT(J87/A81)</f>
        <v>15.821306425379476</v>
      </c>
    </row>
    <row r="89" spans="1:12" x14ac:dyDescent="0.25">
      <c r="B89" s="1">
        <f>C88</f>
        <v>27200</v>
      </c>
      <c r="C89" s="1">
        <f>D88</f>
        <v>2124000</v>
      </c>
      <c r="D89" s="1">
        <f>F84</f>
        <v>232040000</v>
      </c>
      <c r="G89" s="1">
        <f>H84</f>
        <v>43023000</v>
      </c>
    </row>
    <row r="91" spans="1:12" x14ac:dyDescent="0.25">
      <c r="A91" t="s">
        <v>60</v>
      </c>
      <c r="B91" s="1">
        <f t="array" ref="B91:D93">MINVERSE(B87:D89)</f>
        <v>0.45490273773759599</v>
      </c>
      <c r="C91" s="1">
        <v>4.0447434710356193E-3</v>
      </c>
      <c r="D91" s="1">
        <v>-9.0348171000440665E-5</v>
      </c>
      <c r="F91" t="s">
        <v>38</v>
      </c>
      <c r="G91" s="1">
        <f t="array" ref="G91:G93">MMULT(B91:D93,G87:G89)</f>
        <v>1330.9517590499822</v>
      </c>
    </row>
    <row r="92" spans="1:12" x14ac:dyDescent="0.25">
      <c r="B92" s="1">
        <v>4.0447434710356158E-3</v>
      </c>
      <c r="C92" s="1">
        <v>1.6486671168238843E-4</v>
      </c>
      <c r="D92" s="1">
        <v>-1.9832525341560155E-6</v>
      </c>
      <c r="F92" t="s">
        <v>39</v>
      </c>
      <c r="G92" s="1">
        <v>1.8163722449771598</v>
      </c>
    </row>
    <row r="93" spans="1:12" x14ac:dyDescent="0.25">
      <c r="B93" s="1">
        <v>-9.0348171000440692E-5</v>
      </c>
      <c r="C93" s="1">
        <v>-1.9832525341560155E-6</v>
      </c>
      <c r="D93" s="1">
        <v>3.3054208902600254E-8</v>
      </c>
      <c r="F93" t="s">
        <v>40</v>
      </c>
      <c r="G93" s="1">
        <v>1.2769942706037707E-2</v>
      </c>
    </row>
    <row r="106" spans="1:11" x14ac:dyDescent="0.25">
      <c r="A106" s="1" t="s">
        <v>7</v>
      </c>
      <c r="B106" s="1" t="s">
        <v>0</v>
      </c>
      <c r="C106" s="1" t="s">
        <v>21</v>
      </c>
      <c r="D106" s="1" t="s">
        <v>1</v>
      </c>
      <c r="E106" s="6" t="s">
        <v>2</v>
      </c>
      <c r="F106" s="6" t="s">
        <v>24</v>
      </c>
      <c r="G106" s="1" t="s">
        <v>25</v>
      </c>
      <c r="H106" s="6" t="s">
        <v>3</v>
      </c>
      <c r="I106" s="6" t="s">
        <v>30</v>
      </c>
      <c r="J106" s="6" t="s">
        <v>4</v>
      </c>
      <c r="K106" s="6" t="s">
        <v>43</v>
      </c>
    </row>
    <row r="107" spans="1:11" x14ac:dyDescent="0.25">
      <c r="A107" s="1">
        <v>1</v>
      </c>
      <c r="B107" s="1">
        <v>-40</v>
      </c>
      <c r="C107" s="1">
        <f>B107+273.15</f>
        <v>233.14999999999998</v>
      </c>
      <c r="D107" s="1">
        <v>6900</v>
      </c>
      <c r="E107" s="1">
        <f>C107^2</f>
        <v>54358.922499999986</v>
      </c>
      <c r="F107" s="1">
        <f>C107^3</f>
        <v>12673782.780874996</v>
      </c>
      <c r="G107" s="1">
        <f>C107^4</f>
        <v>2954892455.3610048</v>
      </c>
      <c r="H107" s="1">
        <f>C107*D107</f>
        <v>1608734.9999999998</v>
      </c>
      <c r="I107" s="1">
        <f>E107*D107</f>
        <v>375076565.24999988</v>
      </c>
      <c r="J107" s="1">
        <f>$G$120+($G$121*C107)+($G$122*E107)</f>
        <v>6899.9999999971833</v>
      </c>
      <c r="K107" s="1">
        <f>(D107-J107)^2</f>
        <v>7.9338275718666226E-18</v>
      </c>
    </row>
    <row r="108" spans="1:11" x14ac:dyDescent="0.25">
      <c r="A108" s="1">
        <v>2</v>
      </c>
      <c r="B108" s="1">
        <v>0</v>
      </c>
      <c r="C108" s="1">
        <f t="shared" ref="C108:C112" si="31">B108+273.15</f>
        <v>273.14999999999998</v>
      </c>
      <c r="D108" s="1">
        <v>8100</v>
      </c>
      <c r="E108" s="1">
        <f t="shared" ref="E108:E112" si="32">C108^2</f>
        <v>74610.922499999986</v>
      </c>
      <c r="F108" s="1">
        <f t="shared" ref="F108:F112" si="33">C108^3</f>
        <v>20379973.480874993</v>
      </c>
      <c r="G108" s="1">
        <f t="shared" ref="G108:G112" si="34">C108^4</f>
        <v>5566789756.3010044</v>
      </c>
      <c r="H108" s="1">
        <f t="shared" ref="H108:H112" si="35">C108*D108</f>
        <v>2212515</v>
      </c>
      <c r="I108" s="1">
        <f t="shared" ref="I108:I112" si="36">E108*D108</f>
        <v>604348472.24999988</v>
      </c>
      <c r="J108" s="1">
        <f t="shared" ref="J108:J112" si="37">$G$120+($G$121*C108)+($G$122*E108)</f>
        <v>8099.9999999971924</v>
      </c>
      <c r="K108" s="1">
        <f t="shared" ref="K108:K112" si="38">(D108-J108)^2</f>
        <v>7.8826747227863434E-18</v>
      </c>
    </row>
    <row r="109" spans="1:11" x14ac:dyDescent="0.25">
      <c r="A109" s="1">
        <v>3</v>
      </c>
      <c r="B109" s="1">
        <v>40</v>
      </c>
      <c r="C109" s="1">
        <f t="shared" si="31"/>
        <v>313.14999999999998</v>
      </c>
      <c r="D109" s="1">
        <v>9300</v>
      </c>
      <c r="E109" s="1">
        <f t="shared" si="32"/>
        <v>98062.922499999986</v>
      </c>
      <c r="F109" s="1">
        <f t="shared" si="33"/>
        <v>30708404.180874992</v>
      </c>
      <c r="G109" s="1">
        <f t="shared" si="34"/>
        <v>9616336769.241003</v>
      </c>
      <c r="H109" s="1">
        <f t="shared" si="35"/>
        <v>2912295</v>
      </c>
      <c r="I109" s="1">
        <f t="shared" si="36"/>
        <v>911985179.24999988</v>
      </c>
      <c r="J109" s="1">
        <f t="shared" si="37"/>
        <v>9299.999999997066</v>
      </c>
      <c r="K109" s="1">
        <f t="shared" si="38"/>
        <v>8.608531500565913E-18</v>
      </c>
    </row>
    <row r="110" spans="1:11" x14ac:dyDescent="0.25">
      <c r="A110" s="1">
        <v>4</v>
      </c>
      <c r="B110" s="1">
        <v>80</v>
      </c>
      <c r="C110" s="1">
        <f t="shared" si="31"/>
        <v>353.15</v>
      </c>
      <c r="D110" s="1">
        <v>10500</v>
      </c>
      <c r="E110" s="1">
        <f t="shared" si="32"/>
        <v>124714.92249999999</v>
      </c>
      <c r="F110" s="1">
        <f t="shared" si="33"/>
        <v>44043074.880874991</v>
      </c>
      <c r="G110" s="1">
        <f t="shared" si="34"/>
        <v>15553811894.181004</v>
      </c>
      <c r="H110" s="1">
        <f t="shared" si="35"/>
        <v>3708074.9999999995</v>
      </c>
      <c r="I110" s="1">
        <f t="shared" si="36"/>
        <v>1309506686.2499998</v>
      </c>
      <c r="J110" s="1">
        <f t="shared" si="37"/>
        <v>10499.999999996802</v>
      </c>
      <c r="K110" s="1">
        <f t="shared" si="38"/>
        <v>1.0225818490617342E-17</v>
      </c>
    </row>
    <row r="111" spans="1:11" x14ac:dyDescent="0.25">
      <c r="A111" s="1">
        <v>5</v>
      </c>
      <c r="B111" s="1">
        <v>120</v>
      </c>
      <c r="C111" s="1">
        <f t="shared" si="31"/>
        <v>393.15</v>
      </c>
      <c r="D111" s="1">
        <v>11700</v>
      </c>
      <c r="E111" s="1">
        <f t="shared" si="32"/>
        <v>154566.92249999999</v>
      </c>
      <c r="F111" s="1">
        <f t="shared" si="33"/>
        <v>60767985.580874994</v>
      </c>
      <c r="G111" s="1">
        <f t="shared" si="34"/>
        <v>23890933531.121002</v>
      </c>
      <c r="H111" s="1">
        <f t="shared" si="35"/>
        <v>4599855</v>
      </c>
      <c r="I111" s="1">
        <f t="shared" si="36"/>
        <v>1808432993.2499998</v>
      </c>
      <c r="J111" s="1">
        <f t="shared" si="37"/>
        <v>11699.999999996402</v>
      </c>
      <c r="K111" s="1">
        <f t="shared" si="38"/>
        <v>1.294532364689568E-17</v>
      </c>
    </row>
    <row r="112" spans="1:11" x14ac:dyDescent="0.25">
      <c r="A112" s="1">
        <v>6</v>
      </c>
      <c r="B112" s="1">
        <v>160</v>
      </c>
      <c r="C112" s="1">
        <f t="shared" si="31"/>
        <v>433.15</v>
      </c>
      <c r="D112" s="1">
        <v>12900</v>
      </c>
      <c r="E112" s="1">
        <f t="shared" si="32"/>
        <v>187618.92249999999</v>
      </c>
      <c r="F112" s="1">
        <f t="shared" si="33"/>
        <v>81267136.280874982</v>
      </c>
      <c r="G112" s="1">
        <f t="shared" si="34"/>
        <v>35200860080.061005</v>
      </c>
      <c r="H112" s="1">
        <f t="shared" si="35"/>
        <v>5587635</v>
      </c>
      <c r="I112" s="1">
        <f t="shared" si="36"/>
        <v>2420284100.25</v>
      </c>
      <c r="J112" s="1">
        <f t="shared" si="37"/>
        <v>12899.999999995867</v>
      </c>
      <c r="K112" s="1">
        <f t="shared" si="38"/>
        <v>1.7079572348435712E-17</v>
      </c>
    </row>
    <row r="113" spans="1:11" x14ac:dyDescent="0.25">
      <c r="A113" s="1" t="s">
        <v>6</v>
      </c>
      <c r="B113" s="1">
        <f>SUM(B104:B112)</f>
        <v>360</v>
      </c>
      <c r="C113" s="1">
        <f t="shared" ref="C113:K113" si="39">SUM(C104:C112)</f>
        <v>1998.9</v>
      </c>
      <c r="D113" s="1">
        <f t="shared" si="39"/>
        <v>59400</v>
      </c>
      <c r="E113" s="1">
        <f t="shared" si="39"/>
        <v>693933.53499999992</v>
      </c>
      <c r="F113" s="1">
        <f t="shared" si="39"/>
        <v>249840357.18524992</v>
      </c>
      <c r="G113" s="1">
        <f t="shared" si="39"/>
        <v>92783624486.266022</v>
      </c>
      <c r="H113" s="1">
        <f t="shared" si="39"/>
        <v>20629110</v>
      </c>
      <c r="I113" s="1">
        <f t="shared" si="39"/>
        <v>7429633996.499999</v>
      </c>
      <c r="J113" s="1">
        <f t="shared" si="39"/>
        <v>59399.999999980515</v>
      </c>
      <c r="K113" s="1">
        <f t="shared" si="39"/>
        <v>6.4675748281167612E-17</v>
      </c>
    </row>
    <row r="115" spans="1:11" x14ac:dyDescent="0.25">
      <c r="A115" t="s">
        <v>45</v>
      </c>
      <c r="B115" s="1">
        <f>A112</f>
        <v>6</v>
      </c>
      <c r="C115" s="1">
        <f>C113</f>
        <v>1998.9</v>
      </c>
      <c r="D115" s="1">
        <f>E113</f>
        <v>693933.53499999992</v>
      </c>
      <c r="F115" t="s">
        <v>51</v>
      </c>
      <c r="G115" s="1">
        <f>D113</f>
        <v>59400</v>
      </c>
      <c r="I115" t="s">
        <v>56</v>
      </c>
      <c r="J115" s="1">
        <f>K113</f>
        <v>6.4675748281167612E-17</v>
      </c>
    </row>
    <row r="116" spans="1:11" x14ac:dyDescent="0.25">
      <c r="B116" s="1">
        <f>C115</f>
        <v>1998.9</v>
      </c>
      <c r="C116" s="1">
        <f>D115</f>
        <v>693933.53499999992</v>
      </c>
      <c r="D116" s="1">
        <f>F113</f>
        <v>249840357.18524992</v>
      </c>
      <c r="G116" s="1">
        <f>H113</f>
        <v>20629110</v>
      </c>
      <c r="I116" t="s">
        <v>58</v>
      </c>
      <c r="J116" s="1">
        <f>SQRT(J115/A110)</f>
        <v>4.0210616844674125E-9</v>
      </c>
    </row>
    <row r="117" spans="1:11" x14ac:dyDescent="0.25">
      <c r="B117" s="1">
        <f>C116</f>
        <v>693933.53499999992</v>
      </c>
      <c r="C117" s="1">
        <f>D116</f>
        <v>249840357.18524992</v>
      </c>
      <c r="D117" s="1">
        <f>G113</f>
        <v>92783624486.266022</v>
      </c>
      <c r="G117" s="1">
        <f>I113</f>
        <v>7429633996.499999</v>
      </c>
    </row>
    <row r="120" spans="1:11" x14ac:dyDescent="0.25">
      <c r="A120" t="s">
        <v>13</v>
      </c>
      <c r="B120" s="1">
        <f t="array" ref="B120:D122">MINVERSE(B115:D117)</f>
        <v>122.41064275087651</v>
      </c>
      <c r="C120" s="1">
        <v>-0.75313550915610494</v>
      </c>
      <c r="D120" s="1">
        <v>1.1124677995953589E-3</v>
      </c>
      <c r="F120" t="s">
        <v>38</v>
      </c>
      <c r="G120" s="1">
        <f t="array" ref="G120:G122">MMULT(B120:D122,G115:G117)</f>
        <v>-94.500000005587935</v>
      </c>
    </row>
    <row r="121" spans="1:11" x14ac:dyDescent="0.25">
      <c r="B121" s="1">
        <v>-0.75313550915610594</v>
      </c>
      <c r="C121" s="1">
        <v>4.6808979840957153E-3</v>
      </c>
      <c r="D121" s="1">
        <v>-6.9716099330352864E-6</v>
      </c>
      <c r="F121" t="s">
        <v>39</v>
      </c>
      <c r="G121" s="1">
        <v>30.000000000021828</v>
      </c>
    </row>
    <row r="122" spans="1:11" x14ac:dyDescent="0.25">
      <c r="B122" s="1">
        <v>1.1124677995953622E-3</v>
      </c>
      <c r="C122" s="1">
        <v>-6.9716099330352965E-6</v>
      </c>
      <c r="D122" s="1">
        <v>1.0463169642856476E-8</v>
      </c>
      <c r="F122" t="s">
        <v>40</v>
      </c>
      <c r="G122" s="1">
        <v>-4.2632564145606011E-14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O130"/>
  <sheetViews>
    <sheetView topLeftCell="A103" workbookViewId="0">
      <selection activeCell="M113" sqref="M113:N113"/>
    </sheetView>
  </sheetViews>
  <sheetFormatPr baseColWidth="10" defaultRowHeight="15" x14ac:dyDescent="0.25"/>
  <cols>
    <col min="1" max="1" width="13.28515625" customWidth="1"/>
    <col min="2" max="2" width="11.5703125" bestFit="1" customWidth="1"/>
    <col min="3" max="3" width="12.7109375" bestFit="1" customWidth="1"/>
    <col min="4" max="5" width="12.140625" bestFit="1" customWidth="1"/>
    <col min="8" max="8" width="12.7109375" bestFit="1" customWidth="1"/>
    <col min="11" max="12" width="12" bestFit="1" customWidth="1"/>
    <col min="13" max="13" width="11.85546875" bestFit="1" customWidth="1"/>
    <col min="14" max="15" width="12" bestFit="1" customWidth="1"/>
  </cols>
  <sheetData>
    <row r="11" spans="1:15" x14ac:dyDescent="0.25">
      <c r="A11" s="1" t="s">
        <v>7</v>
      </c>
      <c r="B11" s="1" t="s">
        <v>0</v>
      </c>
      <c r="C11" s="1" t="s">
        <v>1</v>
      </c>
      <c r="D11" s="6" t="s">
        <v>2</v>
      </c>
      <c r="E11" s="6" t="s">
        <v>24</v>
      </c>
      <c r="F11" s="1" t="s">
        <v>25</v>
      </c>
      <c r="G11" s="1" t="s">
        <v>26</v>
      </c>
      <c r="H11" s="1" t="s">
        <v>27</v>
      </c>
      <c r="I11" s="1" t="s">
        <v>3</v>
      </c>
      <c r="J11" s="1" t="s">
        <v>30</v>
      </c>
      <c r="K11" s="1" t="s">
        <v>31</v>
      </c>
      <c r="L11" s="1" t="s">
        <v>32</v>
      </c>
      <c r="M11" s="6" t="s">
        <v>4</v>
      </c>
      <c r="N11" s="6" t="s">
        <v>43</v>
      </c>
      <c r="O11" s="9"/>
    </row>
    <row r="12" spans="1:15" x14ac:dyDescent="0.25">
      <c r="A12" s="1">
        <v>1</v>
      </c>
      <c r="B12" s="1">
        <v>6</v>
      </c>
      <c r="C12" s="1">
        <v>29</v>
      </c>
      <c r="D12" s="1">
        <f>B12^2</f>
        <v>36</v>
      </c>
      <c r="E12" s="1">
        <f>B12^3</f>
        <v>216</v>
      </c>
      <c r="F12" s="1">
        <f>B12^4</f>
        <v>1296</v>
      </c>
      <c r="G12" s="1">
        <f>B12^5</f>
        <v>7776</v>
      </c>
      <c r="H12" s="1">
        <f>B12^6</f>
        <v>46656</v>
      </c>
      <c r="I12" s="1">
        <f>B12*C12</f>
        <v>174</v>
      </c>
      <c r="J12" s="1">
        <f>D12*C12</f>
        <v>1044</v>
      </c>
      <c r="K12" s="1">
        <f>E12*C12</f>
        <v>6264</v>
      </c>
      <c r="L12" s="1">
        <f>F12*C12</f>
        <v>37584</v>
      </c>
      <c r="M12" s="1">
        <f>(($H$32)+($H$33*B12)+($H$34*D12)+($H$35*E12))</f>
        <v>6534.1825673069116</v>
      </c>
      <c r="N12" s="1">
        <f>(C12-M12)^2</f>
        <v>42317400.233993739</v>
      </c>
      <c r="O12" s="10"/>
    </row>
    <row r="13" spans="1:15" x14ac:dyDescent="0.25">
      <c r="A13" s="1">
        <v>2</v>
      </c>
      <c r="B13" s="1">
        <v>7</v>
      </c>
      <c r="C13" s="1">
        <v>21</v>
      </c>
      <c r="D13" s="1">
        <f t="shared" ref="D13:D22" si="0">B13^2</f>
        <v>49</v>
      </c>
      <c r="E13" s="1">
        <f t="shared" ref="E13:E22" si="1">B13^3</f>
        <v>343</v>
      </c>
      <c r="F13" s="1">
        <f t="shared" ref="F13:F22" si="2">B13^4</f>
        <v>2401</v>
      </c>
      <c r="G13" s="1">
        <f t="shared" ref="G13:G22" si="3">B13^5</f>
        <v>16807</v>
      </c>
      <c r="H13" s="1">
        <f t="shared" ref="H13:H22" si="4">B13^6</f>
        <v>117649</v>
      </c>
      <c r="I13" s="1">
        <f t="shared" ref="I13:I22" si="5">B13*C13</f>
        <v>147</v>
      </c>
      <c r="J13" s="1">
        <f t="shared" ref="J13:J22" si="6">D13*C13</f>
        <v>1029</v>
      </c>
      <c r="K13" s="1">
        <f t="shared" ref="K13:K22" si="7">E13*C13</f>
        <v>7203</v>
      </c>
      <c r="L13" s="1">
        <f t="shared" ref="L13:L22" si="8">F13*C13</f>
        <v>50421</v>
      </c>
      <c r="M13" s="1">
        <f t="shared" ref="M13:M22" si="9">(($H$32)+($H$33*B13)+($H$34*D13)+($H$35*E13))</f>
        <v>3354.8990440378784</v>
      </c>
      <c r="N13" s="1">
        <f>(C13-M13)^2</f>
        <v>11114882.835836679</v>
      </c>
      <c r="O13" s="10"/>
    </row>
    <row r="14" spans="1:15" x14ac:dyDescent="0.25">
      <c r="A14" s="1">
        <v>3</v>
      </c>
      <c r="B14" s="1">
        <v>11</v>
      </c>
      <c r="C14" s="1">
        <v>29</v>
      </c>
      <c r="D14" s="1">
        <f t="shared" si="0"/>
        <v>121</v>
      </c>
      <c r="E14" s="1">
        <f t="shared" si="1"/>
        <v>1331</v>
      </c>
      <c r="F14" s="1">
        <f t="shared" si="2"/>
        <v>14641</v>
      </c>
      <c r="G14" s="1">
        <f t="shared" si="3"/>
        <v>161051</v>
      </c>
      <c r="H14" s="1">
        <f t="shared" si="4"/>
        <v>1771561</v>
      </c>
      <c r="I14" s="1">
        <f t="shared" si="5"/>
        <v>319</v>
      </c>
      <c r="J14" s="1">
        <f t="shared" si="6"/>
        <v>3509</v>
      </c>
      <c r="K14" s="1">
        <f t="shared" si="7"/>
        <v>38599</v>
      </c>
      <c r="L14" s="1">
        <f t="shared" si="8"/>
        <v>424589</v>
      </c>
      <c r="M14" s="1">
        <f t="shared" si="9"/>
        <v>-4564.3903265310219</v>
      </c>
      <c r="N14" s="1">
        <f>(C14-M14)^2</f>
        <v>21099234.691868767</v>
      </c>
      <c r="O14" s="8"/>
    </row>
    <row r="15" spans="1:15" x14ac:dyDescent="0.25">
      <c r="A15" s="1">
        <v>4</v>
      </c>
      <c r="B15" s="1">
        <v>15</v>
      </c>
      <c r="C15" s="1">
        <v>14</v>
      </c>
      <c r="D15" s="1">
        <f t="shared" si="0"/>
        <v>225</v>
      </c>
      <c r="E15" s="1">
        <f t="shared" si="1"/>
        <v>3375</v>
      </c>
      <c r="F15" s="1">
        <f t="shared" si="2"/>
        <v>50625</v>
      </c>
      <c r="G15" s="1">
        <f t="shared" si="3"/>
        <v>759375</v>
      </c>
      <c r="H15" s="1">
        <f t="shared" si="4"/>
        <v>11390625</v>
      </c>
      <c r="I15" s="1">
        <f t="shared" si="5"/>
        <v>210</v>
      </c>
      <c r="J15" s="1">
        <f t="shared" si="6"/>
        <v>3150</v>
      </c>
      <c r="K15" s="1">
        <f t="shared" si="7"/>
        <v>47250</v>
      </c>
      <c r="L15" s="1">
        <f t="shared" si="8"/>
        <v>708750</v>
      </c>
      <c r="M15" s="1">
        <f t="shared" si="9"/>
        <v>-6355.669326719868</v>
      </c>
      <c r="N15" s="1">
        <f>(C15-M15)^2</f>
        <v>40572687.331755936</v>
      </c>
    </row>
    <row r="16" spans="1:15" x14ac:dyDescent="0.25">
      <c r="A16" s="1">
        <v>5</v>
      </c>
      <c r="B16" s="1">
        <v>17</v>
      </c>
      <c r="C16" s="1">
        <v>21</v>
      </c>
      <c r="D16" s="1">
        <f t="shared" si="0"/>
        <v>289</v>
      </c>
      <c r="E16" s="1">
        <f t="shared" si="1"/>
        <v>4913</v>
      </c>
      <c r="F16" s="1">
        <f t="shared" si="2"/>
        <v>83521</v>
      </c>
      <c r="G16" s="1">
        <f t="shared" si="3"/>
        <v>1419857</v>
      </c>
      <c r="H16" s="1">
        <f t="shared" si="4"/>
        <v>24137569</v>
      </c>
      <c r="I16" s="1">
        <f t="shared" si="5"/>
        <v>357</v>
      </c>
      <c r="J16" s="1">
        <f t="shared" si="6"/>
        <v>6069</v>
      </c>
      <c r="K16" s="1">
        <f t="shared" si="7"/>
        <v>103173</v>
      </c>
      <c r="L16" s="1">
        <f t="shared" si="8"/>
        <v>1753941</v>
      </c>
      <c r="M16" s="1">
        <f t="shared" si="9"/>
        <v>-5598.5304319348834</v>
      </c>
      <c r="N16" s="1">
        <f>(C16-M16)^2</f>
        <v>31579122.275442258</v>
      </c>
    </row>
    <row r="17" spans="1:14" x14ac:dyDescent="0.25">
      <c r="A17" s="1">
        <v>6</v>
      </c>
      <c r="B17" s="1">
        <v>21</v>
      </c>
      <c r="C17" s="1">
        <v>15</v>
      </c>
      <c r="D17" s="1">
        <f t="shared" si="0"/>
        <v>441</v>
      </c>
      <c r="E17" s="1">
        <f t="shared" si="1"/>
        <v>9261</v>
      </c>
      <c r="F17" s="1">
        <f t="shared" si="2"/>
        <v>194481</v>
      </c>
      <c r="G17" s="1">
        <f t="shared" si="3"/>
        <v>4084101</v>
      </c>
      <c r="H17" s="1">
        <f t="shared" si="4"/>
        <v>85766121</v>
      </c>
      <c r="I17" s="1">
        <f t="shared" si="5"/>
        <v>315</v>
      </c>
      <c r="J17" s="1">
        <f t="shared" si="6"/>
        <v>6615</v>
      </c>
      <c r="K17" s="1">
        <f t="shared" si="7"/>
        <v>138915</v>
      </c>
      <c r="L17" s="1">
        <f t="shared" si="8"/>
        <v>2917215</v>
      </c>
      <c r="M17" s="1">
        <f t="shared" si="9"/>
        <v>-2069.1468406323693</v>
      </c>
      <c r="N17" s="1">
        <f>(C17-M17)^2</f>
        <v>4343668.0533178868</v>
      </c>
    </row>
    <row r="18" spans="1:14" x14ac:dyDescent="0.25">
      <c r="A18" s="1">
        <v>7</v>
      </c>
      <c r="B18" s="1">
        <v>23</v>
      </c>
      <c r="C18" s="1">
        <v>7</v>
      </c>
      <c r="D18" s="1">
        <f t="shared" si="0"/>
        <v>529</v>
      </c>
      <c r="E18" s="1">
        <f t="shared" si="1"/>
        <v>12167</v>
      </c>
      <c r="F18" s="1">
        <f t="shared" si="2"/>
        <v>279841</v>
      </c>
      <c r="G18" s="1">
        <f t="shared" si="3"/>
        <v>6436343</v>
      </c>
      <c r="H18" s="1">
        <f t="shared" si="4"/>
        <v>148035889</v>
      </c>
      <c r="I18" s="1">
        <f t="shared" si="5"/>
        <v>161</v>
      </c>
      <c r="J18" s="1">
        <f t="shared" si="6"/>
        <v>3703</v>
      </c>
      <c r="K18" s="1">
        <f t="shared" si="7"/>
        <v>85169</v>
      </c>
      <c r="L18" s="1">
        <f t="shared" si="8"/>
        <v>1958887</v>
      </c>
      <c r="M18" s="1">
        <f t="shared" si="9"/>
        <v>186.91746067468921</v>
      </c>
      <c r="N18" s="1">
        <f>(C18-M18)^2</f>
        <v>32370.292655628338</v>
      </c>
    </row>
    <row r="19" spans="1:14" x14ac:dyDescent="0.25">
      <c r="A19" s="1">
        <v>8</v>
      </c>
      <c r="B19" s="1">
        <v>29</v>
      </c>
      <c r="C19" s="1">
        <v>7</v>
      </c>
      <c r="D19" s="1">
        <f t="shared" si="0"/>
        <v>841</v>
      </c>
      <c r="E19" s="1">
        <f t="shared" si="1"/>
        <v>24389</v>
      </c>
      <c r="F19" s="1">
        <f t="shared" si="2"/>
        <v>707281</v>
      </c>
      <c r="G19" s="1">
        <f t="shared" si="3"/>
        <v>20511149</v>
      </c>
      <c r="H19" s="1">
        <f t="shared" si="4"/>
        <v>594823321</v>
      </c>
      <c r="I19" s="1">
        <f t="shared" si="5"/>
        <v>203</v>
      </c>
      <c r="J19" s="1">
        <f t="shared" si="6"/>
        <v>5887</v>
      </c>
      <c r="K19" s="1">
        <f t="shared" si="7"/>
        <v>170723</v>
      </c>
      <c r="L19" s="1">
        <f t="shared" si="8"/>
        <v>4950967</v>
      </c>
      <c r="M19" s="1">
        <f t="shared" si="9"/>
        <v>5823.5180159559532</v>
      </c>
      <c r="N19" s="1">
        <f>(C19-M19)^2</f>
        <v>33831881.829940178</v>
      </c>
    </row>
    <row r="20" spans="1:14" x14ac:dyDescent="0.25">
      <c r="A20" s="1">
        <v>9</v>
      </c>
      <c r="B20" s="1">
        <v>29</v>
      </c>
      <c r="C20" s="1">
        <v>13</v>
      </c>
      <c r="D20" s="1">
        <f t="shared" si="0"/>
        <v>841</v>
      </c>
      <c r="E20" s="1">
        <f t="shared" si="1"/>
        <v>24389</v>
      </c>
      <c r="F20" s="1">
        <f t="shared" si="2"/>
        <v>707281</v>
      </c>
      <c r="G20" s="1">
        <f t="shared" si="3"/>
        <v>20511149</v>
      </c>
      <c r="H20" s="1">
        <f t="shared" si="4"/>
        <v>594823321</v>
      </c>
      <c r="I20" s="1">
        <f t="shared" si="5"/>
        <v>377</v>
      </c>
      <c r="J20" s="1">
        <f t="shared" si="6"/>
        <v>10933</v>
      </c>
      <c r="K20" s="1">
        <f t="shared" si="7"/>
        <v>317057</v>
      </c>
      <c r="L20" s="1">
        <f t="shared" si="8"/>
        <v>9194653</v>
      </c>
      <c r="M20" s="1">
        <f t="shared" si="9"/>
        <v>5823.5180159559532</v>
      </c>
      <c r="N20" s="1">
        <f>(C20-M20)^2</f>
        <v>33762119.613748707</v>
      </c>
    </row>
    <row r="21" spans="1:14" x14ac:dyDescent="0.25">
      <c r="A21" s="1">
        <v>10</v>
      </c>
      <c r="B21" s="1">
        <v>37</v>
      </c>
      <c r="C21" s="1">
        <v>0</v>
      </c>
      <c r="D21" s="1">
        <f t="shared" si="0"/>
        <v>1369</v>
      </c>
      <c r="E21" s="1">
        <f t="shared" si="1"/>
        <v>50653</v>
      </c>
      <c r="F21" s="1">
        <f t="shared" si="2"/>
        <v>1874161</v>
      </c>
      <c r="G21" s="1">
        <f t="shared" si="3"/>
        <v>69343957</v>
      </c>
      <c r="H21" s="1">
        <f t="shared" si="4"/>
        <v>2565726409</v>
      </c>
      <c r="I21" s="1">
        <f t="shared" si="5"/>
        <v>0</v>
      </c>
      <c r="J21" s="1">
        <f t="shared" si="6"/>
        <v>0</v>
      </c>
      <c r="K21" s="1">
        <f t="shared" si="7"/>
        <v>0</v>
      </c>
      <c r="L21" s="1">
        <f t="shared" si="8"/>
        <v>0</v>
      </c>
      <c r="M21" s="1">
        <f t="shared" si="9"/>
        <v>1063.2358989088098</v>
      </c>
      <c r="N21" s="1">
        <f>(C21-M21)^2</f>
        <v>1130470.5767284248</v>
      </c>
    </row>
    <row r="22" spans="1:14" x14ac:dyDescent="0.25">
      <c r="A22" s="1">
        <v>11</v>
      </c>
      <c r="B22" s="2">
        <v>39</v>
      </c>
      <c r="C22" s="2">
        <v>3</v>
      </c>
      <c r="D22" s="1">
        <f t="shared" si="0"/>
        <v>1521</v>
      </c>
      <c r="E22" s="1">
        <f t="shared" si="1"/>
        <v>59319</v>
      </c>
      <c r="F22" s="1">
        <f t="shared" si="2"/>
        <v>2313441</v>
      </c>
      <c r="G22" s="1">
        <f t="shared" si="3"/>
        <v>90224199</v>
      </c>
      <c r="H22" s="1">
        <f t="shared" si="4"/>
        <v>3518743761</v>
      </c>
      <c r="I22" s="1">
        <f t="shared" si="5"/>
        <v>117</v>
      </c>
      <c r="J22" s="1">
        <f t="shared" si="6"/>
        <v>4563</v>
      </c>
      <c r="K22" s="1">
        <f t="shared" si="7"/>
        <v>177957</v>
      </c>
      <c r="L22" s="1">
        <f t="shared" si="8"/>
        <v>6940323</v>
      </c>
      <c r="M22" s="1">
        <f t="shared" si="9"/>
        <v>-4039.5340770228649</v>
      </c>
      <c r="N22" s="1">
        <f>(C22-M22)^2</f>
        <v>16342081.763891106</v>
      </c>
    </row>
    <row r="23" spans="1:14" x14ac:dyDescent="0.25">
      <c r="A23" s="1" t="s">
        <v>49</v>
      </c>
      <c r="B23" s="1">
        <f>SUM(B12:B22)</f>
        <v>234</v>
      </c>
      <c r="C23" s="1">
        <f t="shared" ref="C23:H23" si="10">SUM(C12:C22)</f>
        <v>159</v>
      </c>
      <c r="D23" s="1">
        <f t="shared" si="10"/>
        <v>6262</v>
      </c>
      <c r="E23" s="1">
        <f t="shared" si="10"/>
        <v>190356</v>
      </c>
      <c r="F23" s="1">
        <f t="shared" si="10"/>
        <v>6228970</v>
      </c>
      <c r="G23" s="1">
        <f t="shared" si="10"/>
        <v>213475764</v>
      </c>
      <c r="H23" s="1">
        <f t="shared" si="10"/>
        <v>7545382882</v>
      </c>
      <c r="I23" s="1">
        <f t="shared" ref="I23" si="11">SUM(I12:I22)</f>
        <v>2380</v>
      </c>
      <c r="J23" s="1">
        <f t="shared" ref="J23" si="12">SUM(J12:J22)</f>
        <v>46502</v>
      </c>
      <c r="K23" s="1">
        <f t="shared" ref="K23" si="13">SUM(K12:K22)</f>
        <v>1092310</v>
      </c>
      <c r="L23" s="1">
        <f t="shared" ref="L23:N23" si="14">SUM(L12:L22)</f>
        <v>28937330</v>
      </c>
      <c r="M23" s="1">
        <f>SUM(M12:M22)</f>
        <v>158.99999999918873</v>
      </c>
      <c r="N23" s="1">
        <f t="shared" si="14"/>
        <v>236125919.49917927</v>
      </c>
    </row>
    <row r="27" spans="1:14" x14ac:dyDescent="0.25">
      <c r="A27" t="s">
        <v>34</v>
      </c>
      <c r="B27" s="1">
        <f>A22</f>
        <v>11</v>
      </c>
      <c r="C27" s="1">
        <f>B23</f>
        <v>234</v>
      </c>
      <c r="D27" s="1">
        <f>D23</f>
        <v>6262</v>
      </c>
      <c r="E27" s="1">
        <f>E23</f>
        <v>190356</v>
      </c>
      <c r="G27" t="s">
        <v>51</v>
      </c>
      <c r="H27" s="1">
        <f>C23</f>
        <v>159</v>
      </c>
      <c r="J27" t="s">
        <v>14</v>
      </c>
      <c r="K27" s="1">
        <f>N23</f>
        <v>236125919.49917927</v>
      </c>
    </row>
    <row r="28" spans="1:14" x14ac:dyDescent="0.25">
      <c r="B28" s="1">
        <f>C27</f>
        <v>234</v>
      </c>
      <c r="C28" s="1">
        <f>D27</f>
        <v>6262</v>
      </c>
      <c r="D28" s="1">
        <f>E27</f>
        <v>190356</v>
      </c>
      <c r="E28" s="1">
        <f>F23</f>
        <v>6228970</v>
      </c>
      <c r="H28" s="1">
        <f>I23</f>
        <v>2380</v>
      </c>
      <c r="J28" t="s">
        <v>44</v>
      </c>
      <c r="K28" s="1">
        <f>SQRT(N23/9)</f>
        <v>5122.1297599423024</v>
      </c>
    </row>
    <row r="29" spans="1:14" x14ac:dyDescent="0.25">
      <c r="B29" s="1">
        <f>C28</f>
        <v>6262</v>
      </c>
      <c r="C29" s="1">
        <f>D28</f>
        <v>190356</v>
      </c>
      <c r="D29" s="1">
        <f>E28</f>
        <v>6228970</v>
      </c>
      <c r="E29" s="1">
        <f>G23</f>
        <v>213475764</v>
      </c>
      <c r="H29" s="1">
        <f>K23</f>
        <v>1092310</v>
      </c>
    </row>
    <row r="30" spans="1:14" x14ac:dyDescent="0.25">
      <c r="B30" s="1">
        <f>C29</f>
        <v>190356</v>
      </c>
      <c r="C30" s="1">
        <f>D29</f>
        <v>6228970</v>
      </c>
      <c r="D30" s="1">
        <f>E29</f>
        <v>213475764</v>
      </c>
      <c r="E30" s="1">
        <f>H23</f>
        <v>7545382882</v>
      </c>
      <c r="H30" s="1">
        <f>L23</f>
        <v>28937330</v>
      </c>
    </row>
    <row r="32" spans="1:14" x14ac:dyDescent="0.25">
      <c r="A32" t="s">
        <v>52</v>
      </c>
      <c r="B32" s="1">
        <f t="array" ref="B32:E35">MINVERSE(B27:E30)</f>
        <v>6.9761706957648872</v>
      </c>
      <c r="C32" s="1">
        <v>-1.216178160422265</v>
      </c>
      <c r="D32" s="1">
        <v>5.8458202511607799E-2</v>
      </c>
      <c r="E32" s="1">
        <v>-8.2591277523320808E-4</v>
      </c>
      <c r="G32" t="s">
        <v>38</v>
      </c>
      <c r="H32" s="1">
        <f t="array" ref="H32:H35">MMULT(B32:E35,H27:H30)</f>
        <v>38169.475776136773</v>
      </c>
    </row>
    <row r="33" spans="1:13" x14ac:dyDescent="0.25">
      <c r="B33" s="1">
        <v>-1.2161781604222677</v>
      </c>
      <c r="C33" s="1">
        <v>0.22724634971955451</v>
      </c>
      <c r="D33" s="1">
        <v>-1.1327515038585105E-2</v>
      </c>
      <c r="E33" s="1">
        <v>1.6356307708655953E-4</v>
      </c>
      <c r="G33" t="s">
        <v>39</v>
      </c>
      <c r="H33" s="1">
        <v>-7292.6052295022855</v>
      </c>
    </row>
    <row r="34" spans="1:13" x14ac:dyDescent="0.25">
      <c r="B34" s="1">
        <v>5.8458202511608236E-2</v>
      </c>
      <c r="C34" s="1">
        <v>-1.132751503858513E-2</v>
      </c>
      <c r="D34" s="1">
        <v>5.7994733110887213E-4</v>
      </c>
      <c r="E34" s="1">
        <v>-8.5315508626075704E-6</v>
      </c>
      <c r="G34" t="s">
        <v>40</v>
      </c>
      <c r="H34" s="1">
        <v>368.93733492798526</v>
      </c>
    </row>
    <row r="35" spans="1:13" x14ac:dyDescent="0.25">
      <c r="B35" s="1">
        <v>-8.2591277523321512E-4</v>
      </c>
      <c r="C35" s="1">
        <v>1.6356307708656012E-4</v>
      </c>
      <c r="D35" s="1">
        <v>-8.531550862607584E-6</v>
      </c>
      <c r="E35" s="1">
        <v>1.2731856096450323E-7</v>
      </c>
      <c r="G35" t="s">
        <v>41</v>
      </c>
      <c r="H35" s="1">
        <v>-5.3768791167760099</v>
      </c>
    </row>
    <row r="47" spans="1:13" x14ac:dyDescent="0.25">
      <c r="A47" s="1" t="s">
        <v>7</v>
      </c>
      <c r="B47" s="1" t="s">
        <v>0</v>
      </c>
      <c r="C47" s="1" t="s">
        <v>1</v>
      </c>
      <c r="D47" s="6" t="s">
        <v>2</v>
      </c>
      <c r="E47" s="6" t="s">
        <v>24</v>
      </c>
      <c r="F47" s="1" t="s">
        <v>25</v>
      </c>
      <c r="G47" s="1" t="s">
        <v>26</v>
      </c>
      <c r="H47" s="1" t="s">
        <v>27</v>
      </c>
      <c r="I47" s="1" t="s">
        <v>3</v>
      </c>
      <c r="J47" s="1" t="s">
        <v>30</v>
      </c>
      <c r="K47" s="6" t="s">
        <v>54</v>
      </c>
      <c r="L47" s="1" t="s">
        <v>4</v>
      </c>
      <c r="M47" s="1" t="s">
        <v>43</v>
      </c>
    </row>
    <row r="48" spans="1:13" x14ac:dyDescent="0.25">
      <c r="A48" s="1">
        <v>1</v>
      </c>
      <c r="B48" s="1">
        <v>10</v>
      </c>
      <c r="C48" s="1">
        <v>5</v>
      </c>
      <c r="D48" s="1">
        <f>B48^2</f>
        <v>100</v>
      </c>
      <c r="E48" s="1">
        <f>B48^3</f>
        <v>1000</v>
      </c>
      <c r="F48" s="1">
        <f>B48^4</f>
        <v>10000</v>
      </c>
      <c r="G48" s="1">
        <f>B48^5</f>
        <v>100000</v>
      </c>
      <c r="H48" s="1">
        <f>B48^6</f>
        <v>1000000</v>
      </c>
      <c r="I48" s="1">
        <f>B48*C48</f>
        <v>50</v>
      </c>
      <c r="J48" s="1">
        <f>D48*C48</f>
        <v>500</v>
      </c>
      <c r="K48" s="1">
        <f>E48*C48</f>
        <v>5000</v>
      </c>
      <c r="L48" s="1">
        <f>(($H$65)+($H$66*B48)+($H$67*D48)+($H$68*E48))</f>
        <v>8.094576679830471</v>
      </c>
      <c r="M48" s="1">
        <f>(C48-L48)^2</f>
        <v>9.5764048273505811</v>
      </c>
    </row>
    <row r="49" spans="1:13" x14ac:dyDescent="0.25">
      <c r="A49" s="1">
        <v>2</v>
      </c>
      <c r="B49" s="1">
        <v>15</v>
      </c>
      <c r="C49" s="1">
        <v>20</v>
      </c>
      <c r="D49" s="1">
        <f t="shared" ref="D49:D56" si="15">B49^2</f>
        <v>225</v>
      </c>
      <c r="E49" s="1">
        <f t="shared" ref="E49:E56" si="16">B49^3</f>
        <v>3375</v>
      </c>
      <c r="F49" s="1">
        <f t="shared" ref="F49:F56" si="17">B49^4</f>
        <v>50625</v>
      </c>
      <c r="G49" s="1">
        <f t="shared" ref="G49:G56" si="18">B49^5</f>
        <v>759375</v>
      </c>
      <c r="H49" s="1">
        <f t="shared" ref="H49:H56" si="19">B49^6</f>
        <v>11390625</v>
      </c>
      <c r="I49" s="1">
        <f t="shared" ref="I49:I56" si="20">B49*C49</f>
        <v>300</v>
      </c>
      <c r="J49" s="1">
        <f t="shared" ref="J49:J56" si="21">D49*C49</f>
        <v>4500</v>
      </c>
      <c r="K49" s="1">
        <f t="shared" ref="K49:K56" si="22">E49*C49</f>
        <v>67500</v>
      </c>
      <c r="L49" s="1">
        <f t="shared" ref="L49:L56" si="23">(($H$65)+($H$66*B49)+($H$67*D49)+($H$68*E49))</f>
        <v>16.037816558488707</v>
      </c>
      <c r="M49" s="1">
        <f>(C49-L49)^2</f>
        <v>15.698897624186273</v>
      </c>
    </row>
    <row r="50" spans="1:13" x14ac:dyDescent="0.25">
      <c r="A50" s="1">
        <v>3</v>
      </c>
      <c r="B50" s="1">
        <v>20</v>
      </c>
      <c r="C50" s="1">
        <v>18</v>
      </c>
      <c r="D50" s="1">
        <f t="shared" si="15"/>
        <v>400</v>
      </c>
      <c r="E50" s="1">
        <f t="shared" si="16"/>
        <v>8000</v>
      </c>
      <c r="F50" s="1">
        <f t="shared" si="17"/>
        <v>160000</v>
      </c>
      <c r="G50" s="1">
        <f t="shared" si="18"/>
        <v>3200000</v>
      </c>
      <c r="H50" s="1">
        <f t="shared" si="19"/>
        <v>64000000</v>
      </c>
      <c r="I50" s="1">
        <f t="shared" si="20"/>
        <v>360</v>
      </c>
      <c r="J50" s="1">
        <f t="shared" si="21"/>
        <v>7200</v>
      </c>
      <c r="K50" s="1">
        <f t="shared" si="22"/>
        <v>144000</v>
      </c>
      <c r="L50" s="1">
        <f t="shared" si="23"/>
        <v>23.135438178335981</v>
      </c>
      <c r="M50" s="1">
        <f>(C50-L50)^2</f>
        <v>26.372725283510782</v>
      </c>
    </row>
    <row r="51" spans="1:13" x14ac:dyDescent="0.25">
      <c r="A51" s="1">
        <v>4</v>
      </c>
      <c r="B51" s="1">
        <v>25</v>
      </c>
      <c r="C51" s="1">
        <v>40</v>
      </c>
      <c r="D51" s="1">
        <f t="shared" si="15"/>
        <v>625</v>
      </c>
      <c r="E51" s="1">
        <f t="shared" si="16"/>
        <v>15625</v>
      </c>
      <c r="F51" s="1">
        <f t="shared" si="17"/>
        <v>390625</v>
      </c>
      <c r="G51" s="1">
        <f t="shared" si="18"/>
        <v>9765625</v>
      </c>
      <c r="H51" s="1">
        <f t="shared" si="19"/>
        <v>244140625</v>
      </c>
      <c r="I51" s="1">
        <f t="shared" si="20"/>
        <v>1000</v>
      </c>
      <c r="J51" s="1">
        <f t="shared" si="21"/>
        <v>25000</v>
      </c>
      <c r="K51" s="1">
        <f t="shared" si="22"/>
        <v>625000</v>
      </c>
      <c r="L51" s="1">
        <f t="shared" si="23"/>
        <v>29.50436869546834</v>
      </c>
      <c r="M51" s="1">
        <f>(C51-L51)^2</f>
        <v>110.15827648066495</v>
      </c>
    </row>
    <row r="52" spans="1:13" x14ac:dyDescent="0.25">
      <c r="A52" s="1">
        <v>5</v>
      </c>
      <c r="B52" s="1">
        <v>40</v>
      </c>
      <c r="C52" s="1">
        <v>33</v>
      </c>
      <c r="D52" s="1">
        <f t="shared" si="15"/>
        <v>1600</v>
      </c>
      <c r="E52" s="1">
        <f t="shared" si="16"/>
        <v>64000</v>
      </c>
      <c r="F52" s="1">
        <f t="shared" si="17"/>
        <v>2560000</v>
      </c>
      <c r="G52" s="1">
        <f t="shared" si="18"/>
        <v>102400000</v>
      </c>
      <c r="H52" s="1">
        <f t="shared" si="19"/>
        <v>4096000000</v>
      </c>
      <c r="I52" s="1">
        <f t="shared" si="20"/>
        <v>1320</v>
      </c>
      <c r="J52" s="1">
        <f t="shared" si="21"/>
        <v>52800</v>
      </c>
      <c r="K52" s="1">
        <f t="shared" si="22"/>
        <v>2112000</v>
      </c>
      <c r="L52" s="1">
        <f t="shared" si="23"/>
        <v>45.408285191536322</v>
      </c>
      <c r="M52" s="1">
        <f>(C52-L52)^2</f>
        <v>153.96554139449958</v>
      </c>
    </row>
    <row r="53" spans="1:13" x14ac:dyDescent="0.25">
      <c r="A53" s="1">
        <v>6</v>
      </c>
      <c r="B53" s="1">
        <v>50</v>
      </c>
      <c r="C53" s="1">
        <v>54</v>
      </c>
      <c r="D53" s="1">
        <f t="shared" si="15"/>
        <v>2500</v>
      </c>
      <c r="E53" s="1">
        <f t="shared" si="16"/>
        <v>125000</v>
      </c>
      <c r="F53" s="1">
        <f t="shared" si="17"/>
        <v>6250000</v>
      </c>
      <c r="G53" s="1">
        <f t="shared" si="18"/>
        <v>312500000</v>
      </c>
      <c r="H53" s="1">
        <f t="shared" si="19"/>
        <v>15625000000</v>
      </c>
      <c r="I53" s="1">
        <f t="shared" si="20"/>
        <v>2700</v>
      </c>
      <c r="J53" s="1">
        <f t="shared" si="21"/>
        <v>135000</v>
      </c>
      <c r="K53" s="1">
        <f t="shared" si="22"/>
        <v>6750000</v>
      </c>
      <c r="L53" s="1">
        <f t="shared" si="23"/>
        <v>54.511105203767819</v>
      </c>
      <c r="M53" s="1">
        <f>(C53-L53)^2</f>
        <v>0.26122852931854401</v>
      </c>
    </row>
    <row r="54" spans="1:13" x14ac:dyDescent="0.25">
      <c r="A54" s="1">
        <v>7</v>
      </c>
      <c r="B54" s="1">
        <v>55</v>
      </c>
      <c r="C54" s="1">
        <v>70</v>
      </c>
      <c r="D54" s="1">
        <f t="shared" si="15"/>
        <v>3025</v>
      </c>
      <c r="E54" s="1">
        <f t="shared" si="16"/>
        <v>166375</v>
      </c>
      <c r="F54" s="1">
        <f t="shared" si="17"/>
        <v>9150625</v>
      </c>
      <c r="G54" s="1">
        <f t="shared" si="18"/>
        <v>503284375</v>
      </c>
      <c r="H54" s="1">
        <f t="shared" si="19"/>
        <v>27680640625</v>
      </c>
      <c r="I54" s="1">
        <f t="shared" si="20"/>
        <v>3850</v>
      </c>
      <c r="J54" s="1">
        <f t="shared" si="21"/>
        <v>211750</v>
      </c>
      <c r="K54" s="1">
        <f t="shared" si="22"/>
        <v>11646250</v>
      </c>
      <c r="L54" s="1">
        <f t="shared" si="23"/>
        <v>58.963359382627544</v>
      </c>
      <c r="M54" s="1">
        <f>(C54-L54)^2</f>
        <v>121.80743611703546</v>
      </c>
    </row>
    <row r="55" spans="1:13" x14ac:dyDescent="0.25">
      <c r="A55" s="1">
        <v>8</v>
      </c>
      <c r="B55" s="1">
        <v>60</v>
      </c>
      <c r="C55" s="1">
        <v>60</v>
      </c>
      <c r="D55" s="1">
        <f t="shared" si="15"/>
        <v>3600</v>
      </c>
      <c r="E55" s="1">
        <f t="shared" si="16"/>
        <v>216000</v>
      </c>
      <c r="F55" s="1">
        <f t="shared" si="17"/>
        <v>12960000</v>
      </c>
      <c r="G55" s="1">
        <f t="shared" si="18"/>
        <v>777600000</v>
      </c>
      <c r="H55" s="1">
        <f t="shared" si="19"/>
        <v>46656000000</v>
      </c>
      <c r="I55" s="1">
        <f t="shared" si="20"/>
        <v>3600</v>
      </c>
      <c r="J55" s="1">
        <f t="shared" si="21"/>
        <v>216000</v>
      </c>
      <c r="K55" s="1">
        <f t="shared" si="22"/>
        <v>12960000</v>
      </c>
      <c r="L55" s="1">
        <f t="shared" si="23"/>
        <v>63.505412551444643</v>
      </c>
      <c r="M55" s="1">
        <f>(C55-L55)^2</f>
        <v>12.287917155825639</v>
      </c>
    </row>
    <row r="56" spans="1:13" x14ac:dyDescent="0.25">
      <c r="A56" s="1">
        <v>9</v>
      </c>
      <c r="B56" s="1">
        <v>75</v>
      </c>
      <c r="C56" s="1">
        <v>78</v>
      </c>
      <c r="D56" s="1">
        <f t="shared" si="15"/>
        <v>5625</v>
      </c>
      <c r="E56" s="1">
        <f t="shared" si="16"/>
        <v>421875</v>
      </c>
      <c r="F56" s="1">
        <f t="shared" si="17"/>
        <v>31640625</v>
      </c>
      <c r="G56" s="1">
        <f t="shared" si="18"/>
        <v>2373046875</v>
      </c>
      <c r="H56" s="1">
        <f t="shared" si="19"/>
        <v>177978515625</v>
      </c>
      <c r="I56" s="1">
        <f t="shared" si="20"/>
        <v>5850</v>
      </c>
      <c r="J56" s="1">
        <f t="shared" si="21"/>
        <v>438750</v>
      </c>
      <c r="K56" s="1">
        <f t="shared" si="22"/>
        <v>32906250</v>
      </c>
      <c r="L56" s="1">
        <f t="shared" si="23"/>
        <v>78.839637558600586</v>
      </c>
      <c r="M56" s="1">
        <f>(C56-L56)^2</f>
        <v>0.70499122981275242</v>
      </c>
    </row>
    <row r="57" spans="1:13" x14ac:dyDescent="0.25">
      <c r="A57" s="1" t="s">
        <v>6</v>
      </c>
      <c r="B57" s="1">
        <f>SUM(B48:B56)</f>
        <v>350</v>
      </c>
      <c r="C57" s="1">
        <f t="shared" ref="C57:M57" si="24">SUM(C48:C56)</f>
        <v>378</v>
      </c>
      <c r="D57" s="1">
        <f t="shared" si="24"/>
        <v>17700</v>
      </c>
      <c r="E57" s="1">
        <f t="shared" si="24"/>
        <v>1021250</v>
      </c>
      <c r="F57" s="1">
        <f t="shared" si="24"/>
        <v>63172500</v>
      </c>
      <c r="G57" s="1">
        <f t="shared" si="24"/>
        <v>4082656250</v>
      </c>
      <c r="H57" s="1">
        <f t="shared" si="24"/>
        <v>272356687500</v>
      </c>
      <c r="I57" s="1">
        <f t="shared" si="24"/>
        <v>19030</v>
      </c>
      <c r="J57" s="1">
        <f t="shared" si="24"/>
        <v>1091500</v>
      </c>
      <c r="K57" s="1">
        <f t="shared" si="24"/>
        <v>67216000</v>
      </c>
      <c r="L57" s="1">
        <f t="shared" si="24"/>
        <v>378.00000000010044</v>
      </c>
      <c r="M57" s="1">
        <f t="shared" si="24"/>
        <v>450.83341864220461</v>
      </c>
    </row>
    <row r="60" spans="1:13" x14ac:dyDescent="0.25">
      <c r="A60" t="s">
        <v>45</v>
      </c>
      <c r="B60" s="1">
        <f>A56</f>
        <v>9</v>
      </c>
      <c r="C60" s="1">
        <f>B57</f>
        <v>350</v>
      </c>
      <c r="D60" s="1">
        <f>D57</f>
        <v>17700</v>
      </c>
      <c r="E60" s="1">
        <f>E57</f>
        <v>1021250</v>
      </c>
      <c r="G60" t="s">
        <v>51</v>
      </c>
      <c r="H60" s="1">
        <f>C57</f>
        <v>378</v>
      </c>
      <c r="J60" t="s">
        <v>50</v>
      </c>
      <c r="K60" s="1">
        <f>M57</f>
        <v>450.83341864220461</v>
      </c>
    </row>
    <row r="61" spans="1:13" x14ac:dyDescent="0.25">
      <c r="B61" s="1">
        <f>C60</f>
        <v>350</v>
      </c>
      <c r="C61" s="1">
        <f>D60</f>
        <v>17700</v>
      </c>
      <c r="D61" s="1">
        <f>E60</f>
        <v>1021250</v>
      </c>
      <c r="E61" s="1">
        <f>F57</f>
        <v>63172500</v>
      </c>
      <c r="H61" s="1">
        <f>I57</f>
        <v>19030</v>
      </c>
      <c r="J61" t="s">
        <v>44</v>
      </c>
      <c r="K61" s="1">
        <f>SQRT(M57/7)</f>
        <v>8.0252585062254234</v>
      </c>
    </row>
    <row r="62" spans="1:13" x14ac:dyDescent="0.25">
      <c r="B62" s="1">
        <f>C61</f>
        <v>17700</v>
      </c>
      <c r="C62" s="1">
        <f>D61</f>
        <v>1021250</v>
      </c>
      <c r="D62" s="1">
        <f>E61</f>
        <v>63172500</v>
      </c>
      <c r="E62" s="1">
        <f>G57</f>
        <v>4082656250</v>
      </c>
      <c r="H62" s="1">
        <f>J57</f>
        <v>1091500</v>
      </c>
    </row>
    <row r="63" spans="1:13" x14ac:dyDescent="0.25">
      <c r="B63" s="1">
        <f>C62</f>
        <v>1021250</v>
      </c>
      <c r="C63" s="1">
        <f>D62</f>
        <v>63172500</v>
      </c>
      <c r="D63" s="1">
        <f>E62</f>
        <v>4082656250</v>
      </c>
      <c r="E63" s="1">
        <f>H57</f>
        <v>272356687500</v>
      </c>
      <c r="H63" s="1">
        <f>K57</f>
        <v>67216000</v>
      </c>
    </row>
    <row r="65" spans="1:8" x14ac:dyDescent="0.25">
      <c r="A65" t="s">
        <v>55</v>
      </c>
      <c r="B65" s="1">
        <f t="array" ref="B65:E68">MINVERSE(B60:E63)</f>
        <v>7.004918926877914</v>
      </c>
      <c r="C65" s="1">
        <v>-0.64615465132482353</v>
      </c>
      <c r="D65" s="1">
        <v>1.5838453663148701E-2</v>
      </c>
      <c r="E65" s="1">
        <v>-1.1381226165576006E-4</v>
      </c>
      <c r="G65" t="s">
        <v>38</v>
      </c>
      <c r="H65" s="1">
        <f t="array" ref="H65:H68">MMULT(B65:E68,H60:H63)</f>
        <v>-10.796466478303046</v>
      </c>
    </row>
    <row r="66" spans="1:8" x14ac:dyDescent="0.25">
      <c r="B66" s="1">
        <v>-0.64615465132483452</v>
      </c>
      <c r="C66" s="1">
        <v>6.3598838441646544E-2</v>
      </c>
      <c r="D66" s="1">
        <v>-1.6114256048944424E-3</v>
      </c>
      <c r="E66" s="1">
        <v>1.1826713942696545E-5</v>
      </c>
      <c r="G66" t="s">
        <v>39</v>
      </c>
      <c r="H66" s="1">
        <v>2.1127939737536963</v>
      </c>
    </row>
    <row r="67" spans="1:8" x14ac:dyDescent="0.25">
      <c r="B67" s="1">
        <v>1.5838453663149194E-2</v>
      </c>
      <c r="C67" s="1">
        <v>-1.611425604894463E-3</v>
      </c>
      <c r="D67" s="1">
        <v>4.1982549945435083E-5</v>
      </c>
      <c r="E67" s="1">
        <v>-3.1494566001418021E-7</v>
      </c>
      <c r="G67" t="s">
        <v>40</v>
      </c>
      <c r="H67" s="1">
        <v>-2.392799454198169E-2</v>
      </c>
    </row>
    <row r="68" spans="1:8" x14ac:dyDescent="0.25">
      <c r="B68" s="1">
        <v>-1.1381226165576495E-4</v>
      </c>
      <c r="C68" s="1">
        <v>1.1826713942696813E-5</v>
      </c>
      <c r="D68" s="1">
        <v>-3.1494566001418317E-7</v>
      </c>
      <c r="E68" s="1">
        <v>2.4083218185645451E-9</v>
      </c>
      <c r="G68" t="s">
        <v>41</v>
      </c>
      <c r="H68" s="1">
        <v>1.559028747947222E-4</v>
      </c>
    </row>
    <row r="81" spans="1:14" x14ac:dyDescent="0.25">
      <c r="A81" s="1" t="s">
        <v>7</v>
      </c>
      <c r="B81" s="1" t="s">
        <v>0</v>
      </c>
      <c r="C81" s="1" t="s">
        <v>1</v>
      </c>
      <c r="D81" s="6" t="s">
        <v>2</v>
      </c>
      <c r="E81" s="6" t="s">
        <v>24</v>
      </c>
      <c r="F81" s="1" t="s">
        <v>25</v>
      </c>
      <c r="G81" s="1" t="s">
        <v>26</v>
      </c>
      <c r="H81" s="1" t="s">
        <v>27</v>
      </c>
      <c r="I81" s="6" t="s">
        <v>3</v>
      </c>
      <c r="J81" s="6" t="s">
        <v>30</v>
      </c>
      <c r="K81" s="6" t="s">
        <v>31</v>
      </c>
      <c r="L81" s="6" t="s">
        <v>32</v>
      </c>
      <c r="M81" s="6" t="s">
        <v>4</v>
      </c>
      <c r="N81" s="1" t="s">
        <v>43</v>
      </c>
    </row>
    <row r="82" spans="1:14" x14ac:dyDescent="0.25">
      <c r="A82" s="1">
        <v>1</v>
      </c>
      <c r="B82" s="1">
        <v>-50</v>
      </c>
      <c r="C82" s="1">
        <v>1270</v>
      </c>
      <c r="D82" s="1">
        <f>B82^2</f>
        <v>2500</v>
      </c>
      <c r="E82" s="1">
        <f>B82^3</f>
        <v>-125000</v>
      </c>
      <c r="F82" s="1">
        <f>B82^4</f>
        <v>6250000</v>
      </c>
      <c r="G82" s="1">
        <f>B82^5</f>
        <v>-312500000</v>
      </c>
      <c r="H82" s="1">
        <f>B82^6</f>
        <v>15625000000</v>
      </c>
      <c r="I82" s="1">
        <f>B82*C82</f>
        <v>-63500</v>
      </c>
      <c r="J82" s="1">
        <f>D82*C82</f>
        <v>3175000</v>
      </c>
      <c r="K82" s="1">
        <f>E82*C82</f>
        <v>-158750000</v>
      </c>
      <c r="L82" s="1">
        <f>F82*C82</f>
        <v>7937500000</v>
      </c>
      <c r="M82" s="1">
        <f>$H$96+($H$97*B82)+($H$98*D82)+($H$99*E82)</f>
        <v>-11522.747553526409</v>
      </c>
      <c r="N82" s="1">
        <f>(C82-M82)^2</f>
        <v>163654389.96825594</v>
      </c>
    </row>
    <row r="83" spans="1:14" x14ac:dyDescent="0.25">
      <c r="A83" s="1">
        <v>2</v>
      </c>
      <c r="B83" s="1">
        <v>-30</v>
      </c>
      <c r="C83" s="1">
        <v>1280</v>
      </c>
      <c r="D83" s="1">
        <f t="shared" ref="D83:D87" si="25">B83^2</f>
        <v>900</v>
      </c>
      <c r="E83" s="1">
        <f t="shared" ref="E83:E87" si="26">B83^3</f>
        <v>-27000</v>
      </c>
      <c r="F83" s="1">
        <f t="shared" ref="F83:F87" si="27">B83^4</f>
        <v>810000</v>
      </c>
      <c r="G83" s="1">
        <f t="shared" ref="G83:G87" si="28">B83^5</f>
        <v>-24300000</v>
      </c>
      <c r="H83" s="1">
        <f t="shared" ref="H83:H87" si="29">B83^6</f>
        <v>729000000</v>
      </c>
      <c r="I83" s="1">
        <f t="shared" ref="I83:I87" si="30">B83*C83</f>
        <v>-38400</v>
      </c>
      <c r="J83" s="1">
        <f t="shared" ref="J83:J87" si="31">D83*C83</f>
        <v>1152000</v>
      </c>
      <c r="K83" s="1">
        <f t="shared" ref="K83:K87" si="32">E83*C83</f>
        <v>-34560000</v>
      </c>
      <c r="L83" s="1">
        <f t="shared" ref="L83:L87" si="33">F83*C83</f>
        <v>1036800000</v>
      </c>
      <c r="M83" s="1">
        <f>$H$96+($H$97*B83)+($H$98*D83)+($H$99*E83)</f>
        <v>-162410.19076893092</v>
      </c>
      <c r="N83" s="1">
        <f>(C83-M83)^2</f>
        <v>26794478553.968994</v>
      </c>
    </row>
    <row r="84" spans="1:14" x14ac:dyDescent="0.25">
      <c r="A84" s="1">
        <v>3</v>
      </c>
      <c r="B84" s="1">
        <v>0</v>
      </c>
      <c r="C84" s="1">
        <v>1350</v>
      </c>
      <c r="D84" s="1">
        <f t="shared" si="25"/>
        <v>0</v>
      </c>
      <c r="E84" s="1">
        <f t="shared" si="26"/>
        <v>0</v>
      </c>
      <c r="F84" s="1">
        <f t="shared" si="27"/>
        <v>0</v>
      </c>
      <c r="G84" s="1">
        <f t="shared" si="28"/>
        <v>0</v>
      </c>
      <c r="H84" s="1">
        <f t="shared" si="29"/>
        <v>0</v>
      </c>
      <c r="I84" s="1">
        <f t="shared" si="30"/>
        <v>0</v>
      </c>
      <c r="J84" s="1">
        <f t="shared" si="31"/>
        <v>0</v>
      </c>
      <c r="K84" s="1">
        <f t="shared" si="32"/>
        <v>0</v>
      </c>
      <c r="L84" s="1">
        <f t="shared" si="33"/>
        <v>0</v>
      </c>
      <c r="M84" s="1">
        <f>$H$96+($H$97*B84)+($H$98*D84)+($H$99*E84)</f>
        <v>-207387.03970621061</v>
      </c>
      <c r="N84" s="1">
        <f>(C84-M84)^2</f>
        <v>43571151745.312141</v>
      </c>
    </row>
    <row r="85" spans="1:14" x14ac:dyDescent="0.25">
      <c r="A85" s="1">
        <v>4</v>
      </c>
      <c r="B85" s="1">
        <v>60</v>
      </c>
      <c r="C85" s="1">
        <v>1480</v>
      </c>
      <c r="D85" s="1">
        <f t="shared" si="25"/>
        <v>3600</v>
      </c>
      <c r="E85" s="1">
        <f t="shared" si="26"/>
        <v>216000</v>
      </c>
      <c r="F85" s="1">
        <f t="shared" si="27"/>
        <v>12960000</v>
      </c>
      <c r="G85" s="1">
        <f t="shared" si="28"/>
        <v>777600000</v>
      </c>
      <c r="H85" s="1">
        <f t="shared" si="29"/>
        <v>46656000000</v>
      </c>
      <c r="I85" s="1">
        <f t="shared" si="30"/>
        <v>88800</v>
      </c>
      <c r="J85" s="1">
        <f t="shared" si="31"/>
        <v>5328000</v>
      </c>
      <c r="K85" s="1">
        <f t="shared" si="32"/>
        <v>319680000</v>
      </c>
      <c r="L85" s="1">
        <f t="shared" si="33"/>
        <v>19180800000</v>
      </c>
      <c r="M85" s="1">
        <f>$H$96+($H$97*B85)+($H$98*D85)+($H$99*E85)</f>
        <v>41170.962139001203</v>
      </c>
      <c r="N85" s="1">
        <f>(C85-M85)^2</f>
        <v>1575372475.5196271</v>
      </c>
    </row>
    <row r="86" spans="1:14" x14ac:dyDescent="0.25">
      <c r="A86" s="1">
        <v>5</v>
      </c>
      <c r="B86" s="1">
        <v>90</v>
      </c>
      <c r="C86" s="1">
        <v>1580</v>
      </c>
      <c r="D86" s="1">
        <f t="shared" si="25"/>
        <v>8100</v>
      </c>
      <c r="E86" s="1">
        <f t="shared" si="26"/>
        <v>729000</v>
      </c>
      <c r="F86" s="1">
        <f t="shared" si="27"/>
        <v>65610000</v>
      </c>
      <c r="G86" s="1">
        <f t="shared" si="28"/>
        <v>5904900000</v>
      </c>
      <c r="H86" s="1">
        <f t="shared" si="29"/>
        <v>531441000000</v>
      </c>
      <c r="I86" s="1">
        <f t="shared" si="30"/>
        <v>142200</v>
      </c>
      <c r="J86" s="1">
        <f t="shared" si="31"/>
        <v>12798000</v>
      </c>
      <c r="K86" s="1">
        <f t="shared" si="32"/>
        <v>1151820000</v>
      </c>
      <c r="L86" s="1">
        <f t="shared" si="33"/>
        <v>103663800000</v>
      </c>
      <c r="M86" s="1">
        <f>$H$96+($H$97*B86)+($H$98*D86)+($H$99*E86)</f>
        <v>163234.62884738017</v>
      </c>
      <c r="N86" s="1">
        <f>(C86-M86)^2</f>
        <v>26132219027.784237</v>
      </c>
    </row>
    <row r="87" spans="1:14" x14ac:dyDescent="0.25">
      <c r="A87" s="7">
        <v>6</v>
      </c>
      <c r="B87" s="1">
        <v>110</v>
      </c>
      <c r="C87" s="1">
        <v>1700</v>
      </c>
      <c r="D87" s="1">
        <f t="shared" si="25"/>
        <v>12100</v>
      </c>
      <c r="E87" s="1">
        <f t="shared" si="26"/>
        <v>1331000</v>
      </c>
      <c r="F87" s="1">
        <f t="shared" si="27"/>
        <v>146410000</v>
      </c>
      <c r="G87" s="1">
        <f t="shared" si="28"/>
        <v>16105100000</v>
      </c>
      <c r="H87" s="1">
        <f t="shared" si="29"/>
        <v>1771561000000</v>
      </c>
      <c r="I87" s="1">
        <f t="shared" si="30"/>
        <v>187000</v>
      </c>
      <c r="J87" s="1">
        <f t="shared" si="31"/>
        <v>20570000</v>
      </c>
      <c r="K87" s="1">
        <f t="shared" si="32"/>
        <v>2262700000</v>
      </c>
      <c r="L87" s="1">
        <f t="shared" si="33"/>
        <v>248897000000</v>
      </c>
      <c r="M87" s="1">
        <f>$H$96+($H$97*B87)+($H$98*D87)+($H$99*E87)</f>
        <v>185574.38704228832</v>
      </c>
      <c r="N87" s="1">
        <f>(C87-M87)^2</f>
        <v>33809790210.177246</v>
      </c>
    </row>
    <row r="88" spans="1:14" x14ac:dyDescent="0.25">
      <c r="A88" s="1" t="s">
        <v>47</v>
      </c>
      <c r="B88" s="1">
        <f>SUM(B82:B87)</f>
        <v>180</v>
      </c>
      <c r="C88" s="1">
        <f t="shared" ref="C88:L88" si="34">SUM(C82:C87)</f>
        <v>8660</v>
      </c>
      <c r="D88" s="1">
        <f t="shared" si="34"/>
        <v>27200</v>
      </c>
      <c r="E88" s="1">
        <f t="shared" si="34"/>
        <v>2124000</v>
      </c>
      <c r="F88" s="1">
        <f t="shared" si="34"/>
        <v>232040000</v>
      </c>
      <c r="G88" s="1">
        <f t="shared" si="34"/>
        <v>22450800000</v>
      </c>
      <c r="H88" s="1">
        <f t="shared" si="34"/>
        <v>2366012000000</v>
      </c>
      <c r="I88" s="1">
        <f t="shared" si="34"/>
        <v>316100</v>
      </c>
      <c r="J88" s="1">
        <f t="shared" si="34"/>
        <v>43023000</v>
      </c>
      <c r="K88" s="1">
        <f t="shared" si="34"/>
        <v>3540890000</v>
      </c>
      <c r="L88" s="1">
        <f t="shared" si="34"/>
        <v>380715900000</v>
      </c>
      <c r="M88" s="1">
        <f>SUM(M82:M87)</f>
        <v>8660.0000000017462</v>
      </c>
      <c r="N88" s="1">
        <f>SUM(N82:N87)</f>
        <v>132046666402.7305</v>
      </c>
    </row>
    <row r="91" spans="1:14" x14ac:dyDescent="0.25">
      <c r="A91" t="s">
        <v>45</v>
      </c>
      <c r="B91" s="1">
        <f>A87</f>
        <v>6</v>
      </c>
      <c r="C91" s="1">
        <f>B88</f>
        <v>180</v>
      </c>
      <c r="D91" s="1">
        <f>D88</f>
        <v>27200</v>
      </c>
      <c r="E91" s="1">
        <f>E88</f>
        <v>2124000</v>
      </c>
      <c r="G91" t="s">
        <v>51</v>
      </c>
      <c r="H91" s="1">
        <f>C88</f>
        <v>8660</v>
      </c>
      <c r="J91" t="s">
        <v>56</v>
      </c>
      <c r="K91" s="1">
        <f>N88</f>
        <v>132046666402.7305</v>
      </c>
    </row>
    <row r="92" spans="1:14" x14ac:dyDescent="0.25">
      <c r="B92" s="1">
        <f>C91</f>
        <v>180</v>
      </c>
      <c r="C92" s="1">
        <f>D91</f>
        <v>27200</v>
      </c>
      <c r="D92" s="1">
        <f>E91</f>
        <v>2124000</v>
      </c>
      <c r="E92" s="1">
        <f>F88</f>
        <v>232040000</v>
      </c>
      <c r="H92" s="1">
        <f>J88</f>
        <v>43023000</v>
      </c>
      <c r="J92" t="s">
        <v>58</v>
      </c>
      <c r="K92" s="1">
        <f>SQRT(K91/A85)</f>
        <v>181691.129669785</v>
      </c>
    </row>
    <row r="93" spans="1:14" x14ac:dyDescent="0.25">
      <c r="B93" s="1">
        <f>C92</f>
        <v>27200</v>
      </c>
      <c r="C93" s="1">
        <f>D92</f>
        <v>2124000</v>
      </c>
      <c r="D93" s="1">
        <f>E92</f>
        <v>232040000</v>
      </c>
      <c r="E93" s="1">
        <f>G88</f>
        <v>22450800000</v>
      </c>
      <c r="H93" s="1">
        <f>K88</f>
        <v>3540890000</v>
      </c>
    </row>
    <row r="94" spans="1:14" x14ac:dyDescent="0.25">
      <c r="B94" s="1">
        <f>C93</f>
        <v>2124000</v>
      </c>
      <c r="C94" s="1">
        <f>D93</f>
        <v>232040000</v>
      </c>
      <c r="D94" s="1">
        <f>E93</f>
        <v>22450800000</v>
      </c>
      <c r="E94" s="1">
        <f>H88</f>
        <v>2366012000000</v>
      </c>
      <c r="H94" s="1">
        <f>L88</f>
        <v>380715900000</v>
      </c>
    </row>
    <row r="96" spans="1:14" x14ac:dyDescent="0.25">
      <c r="A96" t="s">
        <v>57</v>
      </c>
      <c r="B96" s="1">
        <f t="array" ref="B96:E99">MINVERSE(B91:E94)</f>
        <v>0.67499634561470923</v>
      </c>
      <c r="C96" s="1">
        <v>-8.7319662899492591E-5</v>
      </c>
      <c r="D96" s="1">
        <v>-2.5056769409887407E-4</v>
      </c>
      <c r="E96" s="1">
        <v>1.7802169233159244E-6</v>
      </c>
      <c r="G96" t="s">
        <v>38</v>
      </c>
      <c r="H96" s="1">
        <f t="array" ref="H96:H99">MMULT(B96:E99,H91:H94)</f>
        <v>-207387.03970621061</v>
      </c>
    </row>
    <row r="97" spans="2:15" x14ac:dyDescent="0.25">
      <c r="B97" s="1">
        <v>-8.7319662899516877E-5</v>
      </c>
      <c r="C97" s="1">
        <v>2.4244254819808959E-4</v>
      </c>
      <c r="D97" s="1">
        <v>1.0247275299508158E-6</v>
      </c>
      <c r="E97" s="1">
        <v>-3.3422000712298096E-8</v>
      </c>
      <c r="G97" t="s">
        <v>39</v>
      </c>
      <c r="H97" s="1">
        <v>1334.0099453900311</v>
      </c>
    </row>
    <row r="98" spans="2:15" x14ac:dyDescent="0.25">
      <c r="B98" s="1">
        <v>-2.5056769409887396E-4</v>
      </c>
      <c r="C98" s="1">
        <v>1.0247275299508088E-6</v>
      </c>
      <c r="D98" s="1">
        <v>1.496877441946476E-7</v>
      </c>
      <c r="E98" s="1">
        <v>-1.2959281699116369E-9</v>
      </c>
      <c r="G98" t="s">
        <v>40</v>
      </c>
      <c r="H98" s="1">
        <v>78.564313288301378</v>
      </c>
    </row>
    <row r="99" spans="2:15" x14ac:dyDescent="0.25">
      <c r="B99" s="1">
        <v>1.7802169233159257E-6</v>
      </c>
      <c r="C99" s="1">
        <v>-3.3422000712298076E-8</v>
      </c>
      <c r="D99" s="1">
        <v>-1.2959281699116375E-9</v>
      </c>
      <c r="E99" s="1">
        <v>1.4399201887907081E-11</v>
      </c>
      <c r="G99" t="s">
        <v>41</v>
      </c>
      <c r="H99" s="1">
        <v>-0.52923204961145842</v>
      </c>
    </row>
    <row r="112" spans="2:15" x14ac:dyDescent="0.25">
      <c r="O112" s="10"/>
    </row>
    <row r="113" spans="1:15" x14ac:dyDescent="0.25">
      <c r="A113" s="1" t="s">
        <v>7</v>
      </c>
      <c r="B113" s="1" t="s">
        <v>0</v>
      </c>
      <c r="C113" s="1" t="s">
        <v>21</v>
      </c>
      <c r="D113" s="1" t="s">
        <v>1</v>
      </c>
      <c r="E113" s="6" t="s">
        <v>2</v>
      </c>
      <c r="F113" s="6" t="s">
        <v>24</v>
      </c>
      <c r="G113" s="1" t="s">
        <v>25</v>
      </c>
      <c r="H113" s="1" t="s">
        <v>26</v>
      </c>
      <c r="I113" s="1" t="s">
        <v>27</v>
      </c>
      <c r="J113" s="6" t="s">
        <v>3</v>
      </c>
      <c r="K113" s="6" t="s">
        <v>30</v>
      </c>
      <c r="L113" s="1" t="s">
        <v>31</v>
      </c>
      <c r="M113" s="6" t="s">
        <v>4</v>
      </c>
      <c r="N113" s="6" t="s">
        <v>43</v>
      </c>
      <c r="O113" s="9"/>
    </row>
    <row r="114" spans="1:15" x14ac:dyDescent="0.25">
      <c r="A114" s="1">
        <v>1</v>
      </c>
      <c r="B114" s="1">
        <v>-40</v>
      </c>
      <c r="C114" s="1">
        <f>B114+273.15</f>
        <v>233.14999999999998</v>
      </c>
      <c r="D114" s="1">
        <v>6900</v>
      </c>
      <c r="E114" s="1">
        <f>C114^2</f>
        <v>54358.922499999986</v>
      </c>
      <c r="F114" s="1">
        <f>C114^3</f>
        <v>12673782.780874996</v>
      </c>
      <c r="G114" s="1">
        <f>C114^4</f>
        <v>2954892455.3610048</v>
      </c>
      <c r="H114" s="1">
        <f>C114^5</f>
        <v>688933175967.41821</v>
      </c>
      <c r="I114" s="4">
        <f>C114^6</f>
        <v>160624769976803.53</v>
      </c>
      <c r="J114" s="1">
        <f>C114*D114</f>
        <v>1608734.9999999998</v>
      </c>
      <c r="K114" s="1">
        <f>E114*D114</f>
        <v>375076565.24999988</v>
      </c>
      <c r="L114" s="1">
        <f>F114*D114</f>
        <v>87449101188.037476</v>
      </c>
      <c r="M114" s="1">
        <f>$H$127+($H$128*C114)+($H$129*E114)+($H$130*F114)</f>
        <v>6900.0000008105635</v>
      </c>
      <c r="N114" s="1">
        <f>(D114-M114)^2</f>
        <v>6.5701319740957615E-13</v>
      </c>
      <c r="O114" s="10"/>
    </row>
    <row r="115" spans="1:15" x14ac:dyDescent="0.25">
      <c r="A115" s="1">
        <v>2</v>
      </c>
      <c r="B115" s="1">
        <v>0</v>
      </c>
      <c r="C115" s="1">
        <f t="shared" ref="C115:C119" si="35">B115+273.15</f>
        <v>273.14999999999998</v>
      </c>
      <c r="D115" s="1">
        <v>8100</v>
      </c>
      <c r="E115" s="1">
        <f t="shared" ref="E115:E119" si="36">C115^2</f>
        <v>74610.922499999986</v>
      </c>
      <c r="F115" s="1">
        <f t="shared" ref="F115:F119" si="37">C115^3</f>
        <v>20379973.480874993</v>
      </c>
      <c r="G115" s="1">
        <f t="shared" ref="G115:G119" si="38">C115^4</f>
        <v>5566789756.3010044</v>
      </c>
      <c r="H115" s="1">
        <f t="shared" ref="H115:H119" si="39">C115^5</f>
        <v>1520568621933.6191</v>
      </c>
      <c r="I115" s="1">
        <f t="shared" ref="I115:I119" si="40">C115^6</f>
        <v>415343319081168.06</v>
      </c>
      <c r="J115" s="1">
        <f t="shared" ref="J115:J119" si="41">C115*D115</f>
        <v>2212515</v>
      </c>
      <c r="K115" s="1">
        <f t="shared" ref="K115:K119" si="42">E115*D115</f>
        <v>604348472.24999988</v>
      </c>
      <c r="L115" s="1">
        <f t="shared" ref="L115:L119" si="43">F115*D115</f>
        <v>165077785195.08743</v>
      </c>
      <c r="M115" s="1">
        <f t="shared" ref="M115:M119" si="44">$H$127+($H$128*C115)+($H$129*E115)+($H$130*F115)</f>
        <v>8100.0000009073892</v>
      </c>
      <c r="N115" s="1">
        <f t="shared" ref="N115:N119" si="45">(D115-M115)^2</f>
        <v>8.2335519936392547E-13</v>
      </c>
      <c r="O115" s="10"/>
    </row>
    <row r="116" spans="1:15" x14ac:dyDescent="0.25">
      <c r="A116" s="1">
        <v>3</v>
      </c>
      <c r="B116" s="1">
        <v>40</v>
      </c>
      <c r="C116" s="1">
        <f t="shared" si="35"/>
        <v>313.14999999999998</v>
      </c>
      <c r="D116" s="1">
        <v>9300</v>
      </c>
      <c r="E116" s="1">
        <f t="shared" si="36"/>
        <v>98062.922499999986</v>
      </c>
      <c r="F116" s="1">
        <f t="shared" si="37"/>
        <v>30708404.180874992</v>
      </c>
      <c r="G116" s="1">
        <f t="shared" si="38"/>
        <v>9616336769.241003</v>
      </c>
      <c r="H116" s="1">
        <f t="shared" si="39"/>
        <v>3011355859287.8198</v>
      </c>
      <c r="I116" s="1">
        <f t="shared" si="40"/>
        <v>943006087335980.75</v>
      </c>
      <c r="J116" s="1">
        <f t="shared" si="41"/>
        <v>2912295</v>
      </c>
      <c r="K116" s="1">
        <f t="shared" si="42"/>
        <v>911985179.24999988</v>
      </c>
      <c r="L116" s="1">
        <f t="shared" si="43"/>
        <v>285588158882.13745</v>
      </c>
      <c r="M116" s="1">
        <f t="shared" si="44"/>
        <v>9300.0000010170188</v>
      </c>
      <c r="N116" s="1">
        <f t="shared" si="45"/>
        <v>1.0343272464596707E-12</v>
      </c>
      <c r="O116" s="10"/>
    </row>
    <row r="117" spans="1:15" x14ac:dyDescent="0.25">
      <c r="A117" s="1">
        <v>4</v>
      </c>
      <c r="B117" s="1">
        <v>80</v>
      </c>
      <c r="C117" s="1">
        <f t="shared" si="35"/>
        <v>353.15</v>
      </c>
      <c r="D117" s="1">
        <v>10500</v>
      </c>
      <c r="E117" s="1">
        <f t="shared" si="36"/>
        <v>124714.92249999999</v>
      </c>
      <c r="F117" s="1">
        <f t="shared" si="37"/>
        <v>44043074.880874991</v>
      </c>
      <c r="G117" s="1">
        <f t="shared" si="38"/>
        <v>15553811894.181004</v>
      </c>
      <c r="H117" s="1">
        <f t="shared" si="39"/>
        <v>5492828670430.0215</v>
      </c>
      <c r="I117" s="1">
        <f t="shared" si="40"/>
        <v>1939792444962361.7</v>
      </c>
      <c r="J117" s="1">
        <f t="shared" si="41"/>
        <v>3708074.9999999995</v>
      </c>
      <c r="K117" s="1">
        <f t="shared" si="42"/>
        <v>1309506686.2499998</v>
      </c>
      <c r="L117" s="1">
        <f t="shared" si="43"/>
        <v>462452286249.18744</v>
      </c>
      <c r="M117" s="1">
        <f t="shared" si="44"/>
        <v>10500.000001138771</v>
      </c>
      <c r="N117" s="1">
        <f t="shared" si="45"/>
        <v>1.2967994818439304E-12</v>
      </c>
      <c r="O117" s="10"/>
    </row>
    <row r="118" spans="1:15" x14ac:dyDescent="0.25">
      <c r="A118" s="1">
        <v>5</v>
      </c>
      <c r="B118" s="1">
        <v>120</v>
      </c>
      <c r="C118" s="1">
        <f t="shared" si="35"/>
        <v>393.15</v>
      </c>
      <c r="D118" s="1">
        <v>11700</v>
      </c>
      <c r="E118" s="1">
        <f t="shared" si="36"/>
        <v>154566.92249999999</v>
      </c>
      <c r="F118" s="1">
        <f t="shared" si="37"/>
        <v>60767985.580874994</v>
      </c>
      <c r="G118" s="1">
        <f t="shared" si="38"/>
        <v>23890933531.121002</v>
      </c>
      <c r="H118" s="1">
        <f t="shared" si="39"/>
        <v>9392720517760.2207</v>
      </c>
      <c r="I118" s="1">
        <f t="shared" si="40"/>
        <v>3692748071557431</v>
      </c>
      <c r="J118" s="1">
        <f t="shared" si="41"/>
        <v>4599855</v>
      </c>
      <c r="K118" s="1">
        <f t="shared" si="42"/>
        <v>1808432993.2499998</v>
      </c>
      <c r="L118" s="1">
        <f t="shared" si="43"/>
        <v>710985431296.23743</v>
      </c>
      <c r="M118" s="1">
        <f t="shared" si="44"/>
        <v>11700.000001271963</v>
      </c>
      <c r="N118" s="1">
        <f t="shared" si="45"/>
        <v>1.6178896221006244E-12</v>
      </c>
      <c r="O118" s="10"/>
    </row>
    <row r="119" spans="1:15" x14ac:dyDescent="0.25">
      <c r="A119" s="1">
        <v>6</v>
      </c>
      <c r="B119" s="1">
        <v>160</v>
      </c>
      <c r="C119" s="1">
        <f t="shared" si="35"/>
        <v>433.15</v>
      </c>
      <c r="D119" s="1">
        <v>12900</v>
      </c>
      <c r="E119" s="1">
        <f t="shared" si="36"/>
        <v>187618.92249999999</v>
      </c>
      <c r="F119" s="1">
        <f t="shared" si="37"/>
        <v>81267136.280874982</v>
      </c>
      <c r="G119" s="1">
        <f t="shared" si="38"/>
        <v>35200860080.061005</v>
      </c>
      <c r="H119" s="1">
        <f t="shared" si="39"/>
        <v>15247252543678.424</v>
      </c>
      <c r="I119" s="1">
        <f t="shared" si="40"/>
        <v>6604347439294309</v>
      </c>
      <c r="J119" s="1">
        <f t="shared" si="41"/>
        <v>5587635</v>
      </c>
      <c r="K119" s="1">
        <f t="shared" si="42"/>
        <v>2420284100.25</v>
      </c>
      <c r="L119" s="1">
        <f t="shared" si="43"/>
        <v>1048346058023.2872</v>
      </c>
      <c r="M119" s="1">
        <f t="shared" si="44"/>
        <v>12900.000001415914</v>
      </c>
      <c r="N119" s="1">
        <f t="shared" si="45"/>
        <v>2.0048126950986921E-12</v>
      </c>
      <c r="O119" s="10"/>
    </row>
    <row r="120" spans="1:15" x14ac:dyDescent="0.25">
      <c r="A120" s="1" t="s">
        <v>6</v>
      </c>
      <c r="B120" s="1">
        <f>SUM(B111:B119)</f>
        <v>360</v>
      </c>
      <c r="C120" s="1">
        <f t="shared" ref="C120:Q120" si="46">SUM(C111:C119)</f>
        <v>1998.9</v>
      </c>
      <c r="D120" s="1">
        <f t="shared" si="46"/>
        <v>59400</v>
      </c>
      <c r="E120" s="1">
        <f t="shared" si="46"/>
        <v>693933.53499999992</v>
      </c>
      <c r="F120" s="1">
        <f t="shared" si="46"/>
        <v>249840357.18524992</v>
      </c>
      <c r="G120" s="1">
        <f t="shared" si="46"/>
        <v>92783624486.266022</v>
      </c>
      <c r="H120" s="1">
        <f t="shared" si="46"/>
        <v>35353659389057.523</v>
      </c>
      <c r="I120" s="1">
        <f t="shared" si="46"/>
        <v>1.3755862132208054E+16</v>
      </c>
      <c r="J120" s="1">
        <f t="shared" si="46"/>
        <v>20629110</v>
      </c>
      <c r="K120" s="1">
        <f t="shared" si="46"/>
        <v>7429633996.499999</v>
      </c>
      <c r="L120" s="1">
        <f t="shared" si="46"/>
        <v>2759898820833.9741</v>
      </c>
      <c r="M120" s="1">
        <f t="shared" si="46"/>
        <v>59400.000006561619</v>
      </c>
      <c r="N120" s="1">
        <f t="shared" si="46"/>
        <v>7.4341974422764192E-12</v>
      </c>
      <c r="O120" s="10"/>
    </row>
    <row r="122" spans="1:15" x14ac:dyDescent="0.25">
      <c r="A122" t="s">
        <v>34</v>
      </c>
      <c r="B122" s="1">
        <f>A119</f>
        <v>6</v>
      </c>
      <c r="C122" s="1">
        <f>C120</f>
        <v>1998.9</v>
      </c>
      <c r="D122" s="1">
        <f>E120</f>
        <v>693933.53499999992</v>
      </c>
      <c r="E122" s="1">
        <f>F120</f>
        <v>249840357.18524992</v>
      </c>
      <c r="G122" t="s">
        <v>35</v>
      </c>
      <c r="H122" s="1">
        <f>D120</f>
        <v>59400</v>
      </c>
      <c r="J122" t="s">
        <v>56</v>
      </c>
      <c r="K122" s="1">
        <f>N120</f>
        <v>7.4341974422764192E-12</v>
      </c>
    </row>
    <row r="123" spans="1:15" x14ac:dyDescent="0.25">
      <c r="B123" s="1">
        <f>C122</f>
        <v>1998.9</v>
      </c>
      <c r="C123" s="1">
        <f>D122</f>
        <v>693933.53499999992</v>
      </c>
      <c r="D123" s="1">
        <f>E122</f>
        <v>249840357.18524992</v>
      </c>
      <c r="E123" s="1">
        <f>G120</f>
        <v>92783624486.266022</v>
      </c>
      <c r="H123" s="1">
        <f>J120</f>
        <v>20629110</v>
      </c>
      <c r="J123" t="s">
        <v>58</v>
      </c>
      <c r="K123" s="1">
        <f>SQRT(K122/A117)</f>
        <v>1.363286235744022E-6</v>
      </c>
    </row>
    <row r="124" spans="1:15" x14ac:dyDescent="0.25">
      <c r="B124" s="1">
        <f>C123</f>
        <v>693933.53499999992</v>
      </c>
      <c r="C124" s="1">
        <f>D123</f>
        <v>249840357.18524992</v>
      </c>
      <c r="D124" s="1">
        <f>E123</f>
        <v>92783624486.266022</v>
      </c>
      <c r="E124" s="1">
        <f>H120</f>
        <v>35353659389057.523</v>
      </c>
      <c r="H124" s="1">
        <f>K120</f>
        <v>7429633996.499999</v>
      </c>
    </row>
    <row r="125" spans="1:15" x14ac:dyDescent="0.25">
      <c r="B125" s="1">
        <f>C124</f>
        <v>249840357.18524992</v>
      </c>
      <c r="C125" s="1">
        <f>D124</f>
        <v>92783624486.266022</v>
      </c>
      <c r="D125" s="1">
        <f>E124</f>
        <v>35353659389057.523</v>
      </c>
      <c r="E125" s="1">
        <f>I120</f>
        <v>1.3755862132208054E+16</v>
      </c>
      <c r="H125" s="1">
        <f>L120</f>
        <v>2759898820833.9741</v>
      </c>
    </row>
    <row r="127" spans="1:15" x14ac:dyDescent="0.25">
      <c r="A127" t="s">
        <v>57</v>
      </c>
      <c r="B127" s="1">
        <f t="array" ref="B127:E130">MINVERSE(B122:E125)</f>
        <v>4550.8504225081269</v>
      </c>
      <c r="C127" s="1">
        <v>-42.718395471615935</v>
      </c>
      <c r="D127" s="1">
        <v>0.13021030515454646</v>
      </c>
      <c r="E127" s="1">
        <v>-1.2916888023911297E-4</v>
      </c>
      <c r="G127" t="s">
        <v>38</v>
      </c>
      <c r="H127" s="1">
        <f t="array" ref="H127:H130">MMULT(B127:E130,H122:H125)</f>
        <v>-94.499999463558197</v>
      </c>
    </row>
    <row r="128" spans="1:15" x14ac:dyDescent="0.25">
      <c r="B128" s="1">
        <v>-42.718395471620596</v>
      </c>
      <c r="C128" s="1">
        <v>0.40235663284834305</v>
      </c>
      <c r="D128" s="1">
        <v>-1.2303424977922024E-3</v>
      </c>
      <c r="E128" s="1">
        <v>1.2240441121211215E-6</v>
      </c>
      <c r="G128" t="s">
        <v>39</v>
      </c>
      <c r="H128" s="1">
        <v>30</v>
      </c>
    </row>
    <row r="129" spans="2:8" x14ac:dyDescent="0.25">
      <c r="B129" s="1">
        <v>0.13021030515457419</v>
      </c>
      <c r="C129" s="1">
        <v>-1.2303424977923294E-3</v>
      </c>
      <c r="D129" s="1">
        <v>3.7739221842402185E-6</v>
      </c>
      <c r="E129" s="1">
        <v>-3.7655300561291183E-9</v>
      </c>
      <c r="G129" t="s">
        <v>40</v>
      </c>
      <c r="H129" s="1">
        <v>5.4569682106375694E-12</v>
      </c>
    </row>
    <row r="130" spans="2:8" x14ac:dyDescent="0.25">
      <c r="B130" s="1">
        <v>-1.2916888023915287E-4</v>
      </c>
      <c r="C130" s="1">
        <v>1.2240441121213635E-6</v>
      </c>
      <c r="D130" s="1">
        <v>-3.7655300561294716E-9</v>
      </c>
      <c r="E130" s="1">
        <v>3.7676022373609055E-12</v>
      </c>
      <c r="G130" t="s">
        <v>41</v>
      </c>
      <c r="H130" s="1">
        <v>-1.7763568394002505E-15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R146"/>
  <sheetViews>
    <sheetView topLeftCell="A109" workbookViewId="0">
      <selection activeCell="Q132" sqref="Q132"/>
    </sheetView>
  </sheetViews>
  <sheetFormatPr baseColWidth="10" defaultRowHeight="15" x14ac:dyDescent="0.25"/>
  <cols>
    <col min="2" max="2" width="12.140625" bestFit="1" customWidth="1"/>
    <col min="3" max="3" width="12.28515625" bestFit="1" customWidth="1"/>
    <col min="4" max="4" width="12.7109375" bestFit="1" customWidth="1"/>
    <col min="5" max="5" width="12.85546875" bestFit="1" customWidth="1"/>
    <col min="6" max="6" width="13" bestFit="1" customWidth="1"/>
    <col min="8" max="14" width="12" bestFit="1" customWidth="1"/>
    <col min="15" max="15" width="12.7109375" bestFit="1" customWidth="1"/>
    <col min="16" max="16" width="12" bestFit="1" customWidth="1"/>
    <col min="18" max="18" width="12" bestFit="1" customWidth="1"/>
  </cols>
  <sheetData>
    <row r="11" spans="1:17" x14ac:dyDescent="0.25">
      <c r="A11" s="1" t="s">
        <v>7</v>
      </c>
      <c r="B11" s="1" t="s">
        <v>0</v>
      </c>
      <c r="C11" s="1" t="s">
        <v>1</v>
      </c>
      <c r="D11" s="6" t="s">
        <v>2</v>
      </c>
      <c r="E11" s="6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3</v>
      </c>
      <c r="L11" s="1" t="s">
        <v>30</v>
      </c>
      <c r="M11" s="1" t="s">
        <v>31</v>
      </c>
      <c r="N11" s="1" t="s">
        <v>32</v>
      </c>
      <c r="O11" s="1" t="s">
        <v>36</v>
      </c>
      <c r="P11" s="6" t="s">
        <v>4</v>
      </c>
      <c r="Q11" s="6" t="s">
        <v>43</v>
      </c>
    </row>
    <row r="12" spans="1:17" x14ac:dyDescent="0.25">
      <c r="A12" s="1">
        <v>1</v>
      </c>
      <c r="B12" s="1">
        <v>6</v>
      </c>
      <c r="C12" s="1">
        <v>29</v>
      </c>
      <c r="D12" s="1">
        <f>B12^2</f>
        <v>36</v>
      </c>
      <c r="E12" s="1">
        <f>B12^3</f>
        <v>216</v>
      </c>
      <c r="F12" s="1">
        <f>B12^4</f>
        <v>1296</v>
      </c>
      <c r="G12" s="1">
        <f>B12^5</f>
        <v>7776</v>
      </c>
      <c r="H12" s="1">
        <f>B12^6</f>
        <v>46656</v>
      </c>
      <c r="I12" s="1">
        <f>B12^7</f>
        <v>279936</v>
      </c>
      <c r="J12" s="1">
        <f>B12^8</f>
        <v>1679616</v>
      </c>
      <c r="K12" s="1">
        <f>B12*C12</f>
        <v>174</v>
      </c>
      <c r="L12" s="1">
        <f>D12*C12</f>
        <v>1044</v>
      </c>
      <c r="M12" s="1">
        <f>E12*C12</f>
        <v>6264</v>
      </c>
      <c r="N12" s="1">
        <f>F12*C12</f>
        <v>37584</v>
      </c>
      <c r="O12" s="1">
        <f>G12*C12</f>
        <v>225504</v>
      </c>
      <c r="P12" s="1">
        <f>$I$33+($I$34*B12)+($I$35*D12)+($I$36*E12)+($I$37*F12)</f>
        <v>-7488.9086462823434</v>
      </c>
      <c r="Q12" s="1">
        <f>(C12-P12)^2</f>
        <v>56518950.413846821</v>
      </c>
    </row>
    <row r="13" spans="1:17" x14ac:dyDescent="0.25">
      <c r="A13" s="1">
        <v>2</v>
      </c>
      <c r="B13" s="1">
        <v>7</v>
      </c>
      <c r="C13" s="1">
        <v>21</v>
      </c>
      <c r="D13" s="1">
        <f t="shared" ref="D13:D22" si="0">B13^2</f>
        <v>49</v>
      </c>
      <c r="E13" s="1">
        <f t="shared" ref="E13:E22" si="1">B13^3</f>
        <v>343</v>
      </c>
      <c r="F13" s="1">
        <f t="shared" ref="F13:F22" si="2">B13^4</f>
        <v>2401</v>
      </c>
      <c r="G13" s="1">
        <f t="shared" ref="G13:G22" si="3">B13^5</f>
        <v>16807</v>
      </c>
      <c r="H13" s="1">
        <f t="shared" ref="H13:H22" si="4">B13^6</f>
        <v>117649</v>
      </c>
      <c r="I13" s="1">
        <f t="shared" ref="I13:I22" si="5">B13^7</f>
        <v>823543</v>
      </c>
      <c r="J13" s="1">
        <f t="shared" ref="J13:J22" si="6">B13^8</f>
        <v>5764801</v>
      </c>
      <c r="K13" s="1">
        <f t="shared" ref="K13:K22" si="7">B13*C13</f>
        <v>147</v>
      </c>
      <c r="L13" s="1">
        <f t="shared" ref="L13:L22" si="8">D13*C13</f>
        <v>1029</v>
      </c>
      <c r="M13" s="1">
        <f t="shared" ref="M13:M22" si="9">E13*C13</f>
        <v>7203</v>
      </c>
      <c r="N13" s="1">
        <f t="shared" ref="N13:N22" si="10">F13*C13</f>
        <v>50421</v>
      </c>
      <c r="O13" s="1">
        <f t="shared" ref="O13:O22" si="11">G13*C13</f>
        <v>352947</v>
      </c>
      <c r="P13" s="1">
        <f t="shared" ref="P13:P22" si="12">$I$33+($I$34*B13)+($I$35*D13)+($I$36*E13)+($I$37*F13)</f>
        <v>-1464.6938404098478</v>
      </c>
      <c r="Q13" s="1">
        <f t="shared" ref="Q13:Q22" si="13">(C13-P13)^2</f>
        <v>2207286.1874317625</v>
      </c>
    </row>
    <row r="14" spans="1:17" x14ac:dyDescent="0.25">
      <c r="A14" s="1">
        <v>3</v>
      </c>
      <c r="B14" s="1">
        <v>11</v>
      </c>
      <c r="C14" s="1">
        <v>29</v>
      </c>
      <c r="D14" s="1">
        <f t="shared" si="0"/>
        <v>121</v>
      </c>
      <c r="E14" s="1">
        <f t="shared" si="1"/>
        <v>1331</v>
      </c>
      <c r="F14" s="1">
        <f t="shared" si="2"/>
        <v>14641</v>
      </c>
      <c r="G14" s="1">
        <f t="shared" si="3"/>
        <v>161051</v>
      </c>
      <c r="H14" s="1">
        <f t="shared" si="4"/>
        <v>1771561</v>
      </c>
      <c r="I14" s="1">
        <f t="shared" si="5"/>
        <v>19487171</v>
      </c>
      <c r="J14" s="1">
        <f t="shared" si="6"/>
        <v>214358881</v>
      </c>
      <c r="K14" s="1">
        <f t="shared" si="7"/>
        <v>319</v>
      </c>
      <c r="L14" s="1">
        <f t="shared" si="8"/>
        <v>3509</v>
      </c>
      <c r="M14" s="1">
        <f t="shared" si="9"/>
        <v>38599</v>
      </c>
      <c r="N14" s="1">
        <f t="shared" si="10"/>
        <v>424589</v>
      </c>
      <c r="O14" s="1">
        <f t="shared" si="11"/>
        <v>4670479</v>
      </c>
      <c r="P14" s="1">
        <f t="shared" si="12"/>
        <v>8024.2405152070332</v>
      </c>
      <c r="Q14" s="1">
        <f t="shared" si="13"/>
        <v>63923870.89600803</v>
      </c>
    </row>
    <row r="15" spans="1:17" x14ac:dyDescent="0.25">
      <c r="A15" s="1">
        <v>4</v>
      </c>
      <c r="B15" s="1">
        <v>15</v>
      </c>
      <c r="C15" s="1">
        <v>14</v>
      </c>
      <c r="D15" s="1">
        <f t="shared" si="0"/>
        <v>225</v>
      </c>
      <c r="E15" s="1">
        <f t="shared" si="1"/>
        <v>3375</v>
      </c>
      <c r="F15" s="1">
        <f t="shared" si="2"/>
        <v>50625</v>
      </c>
      <c r="G15" s="1">
        <f t="shared" si="3"/>
        <v>759375</v>
      </c>
      <c r="H15" s="1">
        <f t="shared" si="4"/>
        <v>11390625</v>
      </c>
      <c r="I15" s="1">
        <f t="shared" si="5"/>
        <v>170859375</v>
      </c>
      <c r="J15" s="1">
        <f t="shared" si="6"/>
        <v>2562890625</v>
      </c>
      <c r="K15" s="1">
        <f t="shared" si="7"/>
        <v>210</v>
      </c>
      <c r="L15" s="1">
        <f t="shared" si="8"/>
        <v>3150</v>
      </c>
      <c r="M15" s="1">
        <f t="shared" si="9"/>
        <v>47250</v>
      </c>
      <c r="N15" s="1">
        <f t="shared" si="10"/>
        <v>708750</v>
      </c>
      <c r="O15" s="1">
        <f t="shared" si="11"/>
        <v>10631250</v>
      </c>
      <c r="P15" s="1">
        <f t="shared" si="12"/>
        <v>4473.3523130429166</v>
      </c>
      <c r="Q15" s="1">
        <f t="shared" si="13"/>
        <v>19885823.051841211</v>
      </c>
    </row>
    <row r="16" spans="1:17" x14ac:dyDescent="0.25">
      <c r="A16" s="1">
        <v>5</v>
      </c>
      <c r="B16" s="1">
        <v>17</v>
      </c>
      <c r="C16" s="1">
        <v>21</v>
      </c>
      <c r="D16" s="1">
        <f t="shared" si="0"/>
        <v>289</v>
      </c>
      <c r="E16" s="1">
        <f t="shared" si="1"/>
        <v>4913</v>
      </c>
      <c r="F16" s="1">
        <f t="shared" si="2"/>
        <v>83521</v>
      </c>
      <c r="G16" s="1">
        <f t="shared" si="3"/>
        <v>1419857</v>
      </c>
      <c r="H16" s="1">
        <f t="shared" si="4"/>
        <v>24137569</v>
      </c>
      <c r="I16" s="1">
        <f t="shared" si="5"/>
        <v>410338673</v>
      </c>
      <c r="J16" s="1">
        <f t="shared" si="6"/>
        <v>6975757441</v>
      </c>
      <c r="K16" s="1">
        <f t="shared" si="7"/>
        <v>357</v>
      </c>
      <c r="L16" s="1">
        <f t="shared" si="8"/>
        <v>6069</v>
      </c>
      <c r="M16" s="1">
        <f t="shared" si="9"/>
        <v>103173</v>
      </c>
      <c r="N16" s="1">
        <f t="shared" si="10"/>
        <v>1753941</v>
      </c>
      <c r="O16" s="1">
        <f t="shared" si="11"/>
        <v>29816997</v>
      </c>
      <c r="P16" s="1">
        <f t="shared" si="12"/>
        <v>1212.5742257666789</v>
      </c>
      <c r="Q16" s="1">
        <f t="shared" si="13"/>
        <v>1419849.1355114602</v>
      </c>
    </row>
    <row r="17" spans="1:17" x14ac:dyDescent="0.25">
      <c r="A17" s="1">
        <v>6</v>
      </c>
      <c r="B17" s="1">
        <v>21</v>
      </c>
      <c r="C17" s="1">
        <v>15</v>
      </c>
      <c r="D17" s="1">
        <f t="shared" si="0"/>
        <v>441</v>
      </c>
      <c r="E17" s="1">
        <f t="shared" si="1"/>
        <v>9261</v>
      </c>
      <c r="F17" s="1">
        <f t="shared" si="2"/>
        <v>194481</v>
      </c>
      <c r="G17" s="1">
        <f t="shared" si="3"/>
        <v>4084101</v>
      </c>
      <c r="H17" s="1">
        <f t="shared" si="4"/>
        <v>85766121</v>
      </c>
      <c r="I17" s="1">
        <f t="shared" si="5"/>
        <v>1801088541</v>
      </c>
      <c r="J17" s="1">
        <f t="shared" si="6"/>
        <v>37822859361</v>
      </c>
      <c r="K17" s="1">
        <f t="shared" si="7"/>
        <v>315</v>
      </c>
      <c r="L17" s="1">
        <f t="shared" si="8"/>
        <v>6615</v>
      </c>
      <c r="M17" s="1">
        <f t="shared" si="9"/>
        <v>138915</v>
      </c>
      <c r="N17" s="1">
        <f t="shared" si="10"/>
        <v>2917215</v>
      </c>
      <c r="O17" s="1">
        <f t="shared" si="11"/>
        <v>61261515</v>
      </c>
      <c r="P17" s="1">
        <f t="shared" si="12"/>
        <v>-3763.2887736737612</v>
      </c>
      <c r="Q17" s="1">
        <f t="shared" si="13"/>
        <v>14275466.057269175</v>
      </c>
    </row>
    <row r="18" spans="1:17" x14ac:dyDescent="0.25">
      <c r="A18" s="1">
        <v>7</v>
      </c>
      <c r="B18" s="1">
        <v>23</v>
      </c>
      <c r="C18" s="1">
        <v>7</v>
      </c>
      <c r="D18" s="1">
        <f t="shared" si="0"/>
        <v>529</v>
      </c>
      <c r="E18" s="1">
        <f t="shared" si="1"/>
        <v>12167</v>
      </c>
      <c r="F18" s="1">
        <f t="shared" si="2"/>
        <v>279841</v>
      </c>
      <c r="G18" s="1">
        <f t="shared" si="3"/>
        <v>6436343</v>
      </c>
      <c r="H18" s="1">
        <f t="shared" si="4"/>
        <v>148035889</v>
      </c>
      <c r="I18" s="1">
        <f t="shared" si="5"/>
        <v>3404825447</v>
      </c>
      <c r="J18" s="1">
        <f t="shared" si="6"/>
        <v>78310985281</v>
      </c>
      <c r="K18" s="1">
        <f t="shared" si="7"/>
        <v>161</v>
      </c>
      <c r="L18" s="1">
        <f t="shared" si="8"/>
        <v>3703</v>
      </c>
      <c r="M18" s="1">
        <f t="shared" si="9"/>
        <v>85169</v>
      </c>
      <c r="N18" s="1">
        <f t="shared" si="10"/>
        <v>1958887</v>
      </c>
      <c r="O18" s="1">
        <f t="shared" si="11"/>
        <v>45054401</v>
      </c>
      <c r="P18" s="1">
        <f t="shared" si="12"/>
        <v>-4457.9450434485625</v>
      </c>
      <c r="Q18" s="1">
        <f t="shared" si="13"/>
        <v>19935734.241015885</v>
      </c>
    </row>
    <row r="19" spans="1:17" x14ac:dyDescent="0.25">
      <c r="A19" s="1">
        <v>8</v>
      </c>
      <c r="B19" s="1">
        <v>29</v>
      </c>
      <c r="C19" s="1">
        <v>7</v>
      </c>
      <c r="D19" s="1">
        <f t="shared" si="0"/>
        <v>841</v>
      </c>
      <c r="E19" s="1">
        <f t="shared" si="1"/>
        <v>24389</v>
      </c>
      <c r="F19" s="1">
        <f t="shared" si="2"/>
        <v>707281</v>
      </c>
      <c r="G19" s="1">
        <f t="shared" si="3"/>
        <v>20511149</v>
      </c>
      <c r="H19" s="1">
        <f t="shared" si="4"/>
        <v>594823321</v>
      </c>
      <c r="I19" s="1">
        <f t="shared" si="5"/>
        <v>17249876309</v>
      </c>
      <c r="J19" s="1">
        <f t="shared" si="6"/>
        <v>500246412961</v>
      </c>
      <c r="K19" s="1">
        <f t="shared" si="7"/>
        <v>203</v>
      </c>
      <c r="L19" s="1">
        <f t="shared" si="8"/>
        <v>5887</v>
      </c>
      <c r="M19" s="1">
        <f t="shared" si="9"/>
        <v>170723</v>
      </c>
      <c r="N19" s="1">
        <f t="shared" si="10"/>
        <v>4950967</v>
      </c>
      <c r="O19" s="1">
        <f t="shared" si="11"/>
        <v>143578043</v>
      </c>
      <c r="P19" s="1">
        <f t="shared" si="12"/>
        <v>1250.9482050728402</v>
      </c>
      <c r="Q19" s="1">
        <f t="shared" si="13"/>
        <v>1547407.1369039409</v>
      </c>
    </row>
    <row r="20" spans="1:17" x14ac:dyDescent="0.25">
      <c r="A20" s="1">
        <v>9</v>
      </c>
      <c r="B20" s="1">
        <v>29</v>
      </c>
      <c r="C20" s="1">
        <v>13</v>
      </c>
      <c r="D20" s="1">
        <f t="shared" si="0"/>
        <v>841</v>
      </c>
      <c r="E20" s="1">
        <f t="shared" si="1"/>
        <v>24389</v>
      </c>
      <c r="F20" s="1">
        <f t="shared" si="2"/>
        <v>707281</v>
      </c>
      <c r="G20" s="1">
        <f t="shared" si="3"/>
        <v>20511149</v>
      </c>
      <c r="H20" s="1">
        <f t="shared" si="4"/>
        <v>594823321</v>
      </c>
      <c r="I20" s="1">
        <f t="shared" si="5"/>
        <v>17249876309</v>
      </c>
      <c r="J20" s="1">
        <f t="shared" si="6"/>
        <v>500246412961</v>
      </c>
      <c r="K20" s="1">
        <f t="shared" si="7"/>
        <v>377</v>
      </c>
      <c r="L20" s="1">
        <f t="shared" si="8"/>
        <v>10933</v>
      </c>
      <c r="M20" s="1">
        <f t="shared" si="9"/>
        <v>317057</v>
      </c>
      <c r="N20" s="1">
        <f t="shared" si="10"/>
        <v>9194653</v>
      </c>
      <c r="O20" s="1">
        <f t="shared" si="11"/>
        <v>266644937</v>
      </c>
      <c r="P20" s="1">
        <f t="shared" si="12"/>
        <v>1250.9482050728402</v>
      </c>
      <c r="Q20" s="1">
        <f t="shared" si="13"/>
        <v>1532515.7584430669</v>
      </c>
    </row>
    <row r="21" spans="1:17" x14ac:dyDescent="0.25">
      <c r="A21" s="1">
        <v>10</v>
      </c>
      <c r="B21" s="1">
        <v>37</v>
      </c>
      <c r="C21" s="1">
        <v>0</v>
      </c>
      <c r="D21" s="1">
        <f t="shared" si="0"/>
        <v>1369</v>
      </c>
      <c r="E21" s="1">
        <f t="shared" si="1"/>
        <v>50653</v>
      </c>
      <c r="F21" s="1">
        <f t="shared" si="2"/>
        <v>1874161</v>
      </c>
      <c r="G21" s="1">
        <f t="shared" si="3"/>
        <v>69343957</v>
      </c>
      <c r="H21" s="1">
        <f t="shared" si="4"/>
        <v>2565726409</v>
      </c>
      <c r="I21" s="1">
        <f t="shared" si="5"/>
        <v>94931877133</v>
      </c>
      <c r="J21" s="1">
        <f t="shared" si="6"/>
        <v>3512479453921</v>
      </c>
      <c r="K21" s="1">
        <f t="shared" si="7"/>
        <v>0</v>
      </c>
      <c r="L21" s="1">
        <f t="shared" si="8"/>
        <v>0</v>
      </c>
      <c r="M21" s="1">
        <f t="shared" si="9"/>
        <v>0</v>
      </c>
      <c r="N21" s="1">
        <f t="shared" si="10"/>
        <v>0</v>
      </c>
      <c r="O21" s="1">
        <f t="shared" si="11"/>
        <v>0</v>
      </c>
      <c r="P21" s="1">
        <f t="shared" si="12"/>
        <v>4517.3599175035488</v>
      </c>
      <c r="Q21" s="1">
        <f t="shared" si="13"/>
        <v>20406540.624267668</v>
      </c>
    </row>
    <row r="22" spans="1:17" x14ac:dyDescent="0.25">
      <c r="A22" s="1">
        <v>11</v>
      </c>
      <c r="B22" s="1">
        <v>39</v>
      </c>
      <c r="C22" s="1">
        <v>3</v>
      </c>
      <c r="D22" s="1">
        <f t="shared" si="0"/>
        <v>1521</v>
      </c>
      <c r="E22" s="1">
        <f t="shared" si="1"/>
        <v>59319</v>
      </c>
      <c r="F22" s="1">
        <f t="shared" si="2"/>
        <v>2313441</v>
      </c>
      <c r="G22" s="1">
        <f t="shared" si="3"/>
        <v>90224199</v>
      </c>
      <c r="H22" s="1">
        <f t="shared" si="4"/>
        <v>3518743761</v>
      </c>
      <c r="I22" s="1">
        <f t="shared" si="5"/>
        <v>137231006679</v>
      </c>
      <c r="J22" s="1">
        <f t="shared" si="6"/>
        <v>5352009260481</v>
      </c>
      <c r="K22" s="1">
        <f t="shared" si="7"/>
        <v>117</v>
      </c>
      <c r="L22" s="1">
        <f t="shared" si="8"/>
        <v>4563</v>
      </c>
      <c r="M22" s="1">
        <f t="shared" si="9"/>
        <v>177957</v>
      </c>
      <c r="N22" s="1">
        <f t="shared" si="10"/>
        <v>6940323</v>
      </c>
      <c r="O22" s="1">
        <f t="shared" si="11"/>
        <v>270672597</v>
      </c>
      <c r="P22" s="1">
        <f t="shared" si="12"/>
        <v>-3395.5870778290555</v>
      </c>
      <c r="Q22" s="1">
        <f t="shared" si="13"/>
        <v>11550394.125586638</v>
      </c>
    </row>
    <row r="23" spans="1:17" x14ac:dyDescent="0.25">
      <c r="A23" s="1" t="s">
        <v>33</v>
      </c>
      <c r="B23" s="1">
        <f>SUM(B12:B22)</f>
        <v>234</v>
      </c>
      <c r="C23" s="1">
        <f t="shared" ref="C23:N23" si="14">SUM(C12:C22)</f>
        <v>159</v>
      </c>
      <c r="D23" s="1">
        <f t="shared" si="14"/>
        <v>6262</v>
      </c>
      <c r="E23" s="1">
        <f t="shared" si="14"/>
        <v>190356</v>
      </c>
      <c r="F23" s="1">
        <f t="shared" si="14"/>
        <v>6228970</v>
      </c>
      <c r="G23" s="1">
        <f t="shared" si="14"/>
        <v>213475764</v>
      </c>
      <c r="H23" s="1">
        <f t="shared" si="14"/>
        <v>7545382882</v>
      </c>
      <c r="I23" s="1">
        <f t="shared" si="14"/>
        <v>272470339116</v>
      </c>
      <c r="J23" s="1">
        <f t="shared" si="14"/>
        <v>9990875836330</v>
      </c>
      <c r="K23" s="1">
        <f t="shared" si="14"/>
        <v>2380</v>
      </c>
      <c r="L23" s="1">
        <f t="shared" si="14"/>
        <v>46502</v>
      </c>
      <c r="M23" s="1">
        <f t="shared" si="14"/>
        <v>1092310</v>
      </c>
      <c r="N23" s="1">
        <f t="shared" si="14"/>
        <v>28937330</v>
      </c>
      <c r="O23" s="1">
        <f t="shared" ref="O23" si="15">SUM(O12:O22)</f>
        <v>832908670</v>
      </c>
      <c r="P23" s="1">
        <f t="shared" ref="P23" si="16">SUM(P12:P22)</f>
        <v>159.00000002228808</v>
      </c>
      <c r="Q23" s="1">
        <f t="shared" ref="Q23" si="17">SUM(Q12:Q22)</f>
        <v>213203837.62812564</v>
      </c>
    </row>
    <row r="26" spans="1:17" x14ac:dyDescent="0.25">
      <c r="A26" t="s">
        <v>34</v>
      </c>
      <c r="B26" s="1">
        <f>A22</f>
        <v>11</v>
      </c>
      <c r="C26" s="1">
        <f>B23</f>
        <v>234</v>
      </c>
      <c r="D26" s="1">
        <f>D23</f>
        <v>6262</v>
      </c>
      <c r="E26" s="1">
        <f>E23</f>
        <v>190356</v>
      </c>
      <c r="F26" s="1">
        <f>F23</f>
        <v>6228970</v>
      </c>
      <c r="H26" t="s">
        <v>35</v>
      </c>
      <c r="I26" s="1">
        <f>C23</f>
        <v>159</v>
      </c>
      <c r="K26" t="s">
        <v>14</v>
      </c>
      <c r="L26" s="1">
        <f>Q23</f>
        <v>213203837.62812564</v>
      </c>
    </row>
    <row r="27" spans="1:17" x14ac:dyDescent="0.25">
      <c r="B27" s="1">
        <f t="shared" ref="B27:E30" si="18">C26</f>
        <v>234</v>
      </c>
      <c r="C27" s="1">
        <f t="shared" si="18"/>
        <v>6262</v>
      </c>
      <c r="D27" s="1">
        <f t="shared" si="18"/>
        <v>190356</v>
      </c>
      <c r="E27" s="1">
        <f t="shared" si="18"/>
        <v>6228970</v>
      </c>
      <c r="F27" s="1">
        <f>G23</f>
        <v>213475764</v>
      </c>
      <c r="I27" s="1">
        <f>L23</f>
        <v>46502</v>
      </c>
      <c r="K27" t="s">
        <v>44</v>
      </c>
      <c r="L27" s="1">
        <f>SQRT(L26/9)</f>
        <v>4867.167070485043</v>
      </c>
    </row>
    <row r="28" spans="1:17" x14ac:dyDescent="0.25">
      <c r="B28" s="1">
        <f t="shared" si="18"/>
        <v>6262</v>
      </c>
      <c r="C28" s="1">
        <f t="shared" si="18"/>
        <v>190356</v>
      </c>
      <c r="D28" s="1">
        <f t="shared" si="18"/>
        <v>6228970</v>
      </c>
      <c r="E28" s="1">
        <f t="shared" si="18"/>
        <v>213475764</v>
      </c>
      <c r="F28" s="1">
        <f>H23</f>
        <v>7545382882</v>
      </c>
      <c r="I28" s="1">
        <f>M23</f>
        <v>1092310</v>
      </c>
    </row>
    <row r="29" spans="1:17" x14ac:dyDescent="0.25">
      <c r="B29" s="1">
        <f t="shared" si="18"/>
        <v>190356</v>
      </c>
      <c r="C29" s="1">
        <f t="shared" si="18"/>
        <v>6228970</v>
      </c>
      <c r="D29" s="1">
        <f t="shared" si="18"/>
        <v>213475764</v>
      </c>
      <c r="E29" s="1">
        <f t="shared" si="18"/>
        <v>7545382882</v>
      </c>
      <c r="F29" s="1">
        <f>I23</f>
        <v>272470339116</v>
      </c>
      <c r="I29" s="1">
        <f>N23</f>
        <v>28937330</v>
      </c>
    </row>
    <row r="30" spans="1:17" x14ac:dyDescent="0.25">
      <c r="B30" s="1">
        <f t="shared" si="18"/>
        <v>6228970</v>
      </c>
      <c r="C30" s="1">
        <f t="shared" si="18"/>
        <v>213475764</v>
      </c>
      <c r="D30" s="1">
        <f t="shared" si="18"/>
        <v>7545382882</v>
      </c>
      <c r="E30" s="1">
        <f t="shared" si="18"/>
        <v>272470339116</v>
      </c>
      <c r="F30" s="1">
        <f>J23</f>
        <v>9990875836330</v>
      </c>
      <c r="I30" s="1">
        <f>O23</f>
        <v>832908670</v>
      </c>
    </row>
    <row r="33" spans="1:9" x14ac:dyDescent="0.25">
      <c r="A33" t="s">
        <v>37</v>
      </c>
      <c r="B33" s="1">
        <f t="array" ref="B33:F37">MINVERSE(B26:F30)</f>
        <v>42.998218306229845</v>
      </c>
      <c r="C33" s="1">
        <v>-10.941261719314234</v>
      </c>
      <c r="D33" s="1">
        <v>0.88231126007630223</v>
      </c>
      <c r="E33" s="1">
        <v>-2.8093262687823226E-2</v>
      </c>
      <c r="F33" s="1">
        <v>3.0678632945037499E-4</v>
      </c>
      <c r="H33" s="1" t="s">
        <v>38</v>
      </c>
      <c r="I33" s="1">
        <f t="array" ref="I33:I37">MMULT(B33:F37,I26:I30)</f>
        <v>-95615.442804448336</v>
      </c>
    </row>
    <row r="34" spans="1:9" x14ac:dyDescent="0.25">
      <c r="B34" s="1">
        <v>-10.941261719316543</v>
      </c>
      <c r="C34" s="1">
        <v>2.8527842216970551</v>
      </c>
      <c r="D34" s="1">
        <v>-0.2337479590873969</v>
      </c>
      <c r="E34" s="1">
        <v>7.525089528806179E-3</v>
      </c>
      <c r="F34" s="1">
        <v>-8.2824905482733178E-5</v>
      </c>
      <c r="H34" s="1" t="s">
        <v>39</v>
      </c>
      <c r="I34" s="1">
        <v>24365.695179340502</v>
      </c>
    </row>
    <row r="35" spans="1:9" x14ac:dyDescent="0.25">
      <c r="B35" s="1">
        <v>0.88231126007666705</v>
      </c>
      <c r="C35" s="1">
        <v>-0.2337479590874425</v>
      </c>
      <c r="D35" s="1">
        <v>1.9422126093367596E-2</v>
      </c>
      <c r="E35" s="1">
        <v>-6.3215766562729346E-4</v>
      </c>
      <c r="F35" s="1">
        <v>7.0164488779203331E-6</v>
      </c>
      <c r="H35" s="1" t="s">
        <v>40</v>
      </c>
      <c r="I35" s="1">
        <v>-1963.3714293407311</v>
      </c>
    </row>
    <row r="36" spans="1:9" x14ac:dyDescent="0.25">
      <c r="B36" s="1">
        <v>-2.8093262687839741E-2</v>
      </c>
      <c r="C36" s="1">
        <v>7.5250895288088739E-3</v>
      </c>
      <c r="D36" s="1">
        <v>-6.3215766562739299E-4</v>
      </c>
      <c r="E36" s="1">
        <v>2.0767688017364719E-5</v>
      </c>
      <c r="F36" s="1">
        <v>-2.3222583801973383E-7</v>
      </c>
      <c r="H36" s="1" t="s">
        <v>41</v>
      </c>
      <c r="I36" s="1">
        <v>62.491272370722726</v>
      </c>
    </row>
    <row r="37" spans="1:9" x14ac:dyDescent="0.25">
      <c r="B37" s="1">
        <v>3.067863294505953E-4</v>
      </c>
      <c r="C37" s="1">
        <v>-8.2824905482773402E-5</v>
      </c>
      <c r="D37" s="1">
        <v>7.0164488779222974E-6</v>
      </c>
      <c r="E37" s="1">
        <v>-2.3222583801976183E-7</v>
      </c>
      <c r="F37" s="1">
        <v>2.6127846188940976E-9</v>
      </c>
      <c r="H37" s="1" t="s">
        <v>42</v>
      </c>
      <c r="I37" s="1">
        <v>-0.68239220191883421</v>
      </c>
    </row>
    <row r="52" spans="1:17" x14ac:dyDescent="0.25">
      <c r="A52" s="1" t="s">
        <v>7</v>
      </c>
      <c r="B52" s="1" t="s">
        <v>0</v>
      </c>
      <c r="C52" s="1" t="s">
        <v>1</v>
      </c>
      <c r="D52" s="6" t="s">
        <v>2</v>
      </c>
      <c r="E52" s="6" t="s">
        <v>24</v>
      </c>
      <c r="F52" s="1" t="s">
        <v>25</v>
      </c>
      <c r="G52" s="1" t="s">
        <v>26</v>
      </c>
      <c r="H52" s="1" t="s">
        <v>27</v>
      </c>
      <c r="I52" s="1" t="s">
        <v>28</v>
      </c>
      <c r="J52" s="1" t="s">
        <v>29</v>
      </c>
      <c r="K52" s="1" t="s">
        <v>3</v>
      </c>
      <c r="L52" s="1" t="s">
        <v>30</v>
      </c>
      <c r="M52" s="1" t="s">
        <v>31</v>
      </c>
      <c r="N52" s="1" t="s">
        <v>32</v>
      </c>
      <c r="O52" s="1" t="s">
        <v>36</v>
      </c>
      <c r="P52" s="6" t="s">
        <v>4</v>
      </c>
      <c r="Q52" s="6" t="s">
        <v>43</v>
      </c>
    </row>
    <row r="53" spans="1:17" x14ac:dyDescent="0.25">
      <c r="A53" s="1">
        <v>1</v>
      </c>
      <c r="B53" s="1">
        <v>10</v>
      </c>
      <c r="C53" s="1">
        <v>5</v>
      </c>
      <c r="D53" s="1">
        <f>B53^2</f>
        <v>100</v>
      </c>
      <c r="E53" s="1">
        <f>B53^3</f>
        <v>1000</v>
      </c>
      <c r="F53" s="1">
        <f>B53^4</f>
        <v>10000</v>
      </c>
      <c r="G53" s="1">
        <f>B53^5</f>
        <v>100000</v>
      </c>
      <c r="H53" s="1">
        <f>B53^6</f>
        <v>1000000</v>
      </c>
      <c r="I53" s="1">
        <f>B53^7</f>
        <v>10000000</v>
      </c>
      <c r="J53" s="1">
        <f>B53^8</f>
        <v>100000000</v>
      </c>
      <c r="K53" s="1">
        <f>B53*C53</f>
        <v>50</v>
      </c>
      <c r="L53" s="1">
        <f>D53*C53</f>
        <v>500</v>
      </c>
      <c r="M53" s="1">
        <f>E53*C53</f>
        <v>5000</v>
      </c>
      <c r="N53" s="1">
        <f>F53*C53</f>
        <v>50000</v>
      </c>
      <c r="O53" s="1">
        <f>G53*C53</f>
        <v>500000</v>
      </c>
      <c r="P53" s="1">
        <f>$I$72+($I$73*B53)+($I$74*D53)+($I$75*E53)+($I$76*F53)</f>
        <v>4.9966172122361669</v>
      </c>
      <c r="Q53" s="1">
        <f>(C53-P53)^2</f>
        <v>1.144325305513861E-5</v>
      </c>
    </row>
    <row r="54" spans="1:17" x14ac:dyDescent="0.25">
      <c r="A54" s="1">
        <v>2</v>
      </c>
      <c r="B54" s="1">
        <v>15</v>
      </c>
      <c r="C54" s="1">
        <v>20</v>
      </c>
      <c r="D54" s="1">
        <f t="shared" ref="D54:D61" si="19">B54^2</f>
        <v>225</v>
      </c>
      <c r="E54" s="1">
        <f t="shared" ref="E54:E61" si="20">B54^3</f>
        <v>3375</v>
      </c>
      <c r="F54" s="1">
        <f t="shared" ref="F54:F61" si="21">B54^4</f>
        <v>50625</v>
      </c>
      <c r="G54" s="1">
        <f t="shared" ref="G54:G61" si="22">B54^5</f>
        <v>759375</v>
      </c>
      <c r="H54" s="1">
        <f t="shared" ref="H54:H61" si="23">B54^6</f>
        <v>11390625</v>
      </c>
      <c r="I54" s="1">
        <f t="shared" ref="I54:I61" si="24">B54^7</f>
        <v>170859375</v>
      </c>
      <c r="J54" s="1">
        <f t="shared" ref="J54:J61" si="25">B54^8</f>
        <v>2562890625</v>
      </c>
      <c r="K54" s="1">
        <f t="shared" ref="K54:K61" si="26">B54*C54</f>
        <v>300</v>
      </c>
      <c r="L54" s="1">
        <f t="shared" ref="L54:L61" si="27">D54*C54</f>
        <v>4500</v>
      </c>
      <c r="M54" s="1">
        <f t="shared" ref="M54:M61" si="28">E54*C54</f>
        <v>67500</v>
      </c>
      <c r="N54" s="1">
        <f t="shared" ref="N54:N61" si="29">F54*C54</f>
        <v>1012500</v>
      </c>
      <c r="O54" s="1">
        <f t="shared" ref="O54:O61" si="30">G54*C54</f>
        <v>15187500</v>
      </c>
      <c r="P54" s="1">
        <f t="shared" ref="P54:P61" si="31">$I$72+($I$73*B54)+($I$74*D54)+($I$75*E54)+($I$76*F54)</f>
        <v>18.218134232156078</v>
      </c>
      <c r="Q54" s="1">
        <f t="shared" ref="Q54:Q61" si="32">(C54-P54)^2</f>
        <v>3.1750456146140085</v>
      </c>
    </row>
    <row r="55" spans="1:17" x14ac:dyDescent="0.25">
      <c r="A55" s="1">
        <v>3</v>
      </c>
      <c r="B55" s="1">
        <v>20</v>
      </c>
      <c r="C55" s="1">
        <v>18</v>
      </c>
      <c r="D55" s="1">
        <f t="shared" si="19"/>
        <v>400</v>
      </c>
      <c r="E55" s="1">
        <f t="shared" si="20"/>
        <v>8000</v>
      </c>
      <c r="F55" s="1">
        <f t="shared" si="21"/>
        <v>160000</v>
      </c>
      <c r="G55" s="1">
        <f t="shared" si="22"/>
        <v>3200000</v>
      </c>
      <c r="H55" s="1">
        <f t="shared" si="23"/>
        <v>64000000</v>
      </c>
      <c r="I55" s="1">
        <f t="shared" si="24"/>
        <v>1280000000</v>
      </c>
      <c r="J55" s="1">
        <f t="shared" si="25"/>
        <v>25600000000</v>
      </c>
      <c r="K55" s="1">
        <f t="shared" si="26"/>
        <v>360</v>
      </c>
      <c r="L55" s="1">
        <f t="shared" si="27"/>
        <v>7200</v>
      </c>
      <c r="M55" s="1">
        <f t="shared" si="28"/>
        <v>144000</v>
      </c>
      <c r="N55" s="1">
        <f t="shared" si="29"/>
        <v>2880000</v>
      </c>
      <c r="O55" s="1">
        <f t="shared" si="30"/>
        <v>57600000</v>
      </c>
      <c r="P55" s="1">
        <f t="shared" si="31"/>
        <v>25.975537327898799</v>
      </c>
      <c r="Q55" s="1">
        <f t="shared" si="32"/>
        <v>63.609195668707116</v>
      </c>
    </row>
    <row r="56" spans="1:17" x14ac:dyDescent="0.25">
      <c r="A56" s="1">
        <v>4</v>
      </c>
      <c r="B56" s="1">
        <v>25</v>
      </c>
      <c r="C56" s="1">
        <v>40</v>
      </c>
      <c r="D56" s="1">
        <f t="shared" si="19"/>
        <v>625</v>
      </c>
      <c r="E56" s="1">
        <f t="shared" si="20"/>
        <v>15625</v>
      </c>
      <c r="F56" s="1">
        <f t="shared" si="21"/>
        <v>390625</v>
      </c>
      <c r="G56" s="1">
        <f t="shared" si="22"/>
        <v>9765625</v>
      </c>
      <c r="H56" s="1">
        <f t="shared" si="23"/>
        <v>244140625</v>
      </c>
      <c r="I56" s="1">
        <f t="shared" si="24"/>
        <v>6103515625</v>
      </c>
      <c r="J56" s="1">
        <f t="shared" si="25"/>
        <v>152587890625</v>
      </c>
      <c r="K56" s="1">
        <f t="shared" si="26"/>
        <v>1000</v>
      </c>
      <c r="L56" s="1">
        <f t="shared" si="27"/>
        <v>25000</v>
      </c>
      <c r="M56" s="1">
        <f t="shared" si="28"/>
        <v>625000</v>
      </c>
      <c r="N56" s="1">
        <f t="shared" si="29"/>
        <v>15625000</v>
      </c>
      <c r="O56" s="1">
        <f t="shared" si="30"/>
        <v>390625000</v>
      </c>
      <c r="P56" s="1">
        <f t="shared" si="31"/>
        <v>30.506342512121122</v>
      </c>
      <c r="Q56" s="1">
        <f t="shared" si="32"/>
        <v>90.129532497158678</v>
      </c>
    </row>
    <row r="57" spans="1:17" x14ac:dyDescent="0.25">
      <c r="A57" s="1">
        <v>5</v>
      </c>
      <c r="B57" s="1">
        <v>40</v>
      </c>
      <c r="C57" s="1">
        <v>33</v>
      </c>
      <c r="D57" s="1">
        <f t="shared" si="19"/>
        <v>1600</v>
      </c>
      <c r="E57" s="1">
        <f t="shared" si="20"/>
        <v>64000</v>
      </c>
      <c r="F57" s="1">
        <f t="shared" si="21"/>
        <v>2560000</v>
      </c>
      <c r="G57" s="1">
        <f t="shared" si="22"/>
        <v>102400000</v>
      </c>
      <c r="H57" s="1">
        <f t="shared" si="23"/>
        <v>4096000000</v>
      </c>
      <c r="I57" s="1">
        <f t="shared" si="24"/>
        <v>163840000000</v>
      </c>
      <c r="J57" s="1">
        <f t="shared" si="25"/>
        <v>6553600000000</v>
      </c>
      <c r="K57" s="1">
        <f t="shared" si="26"/>
        <v>1320</v>
      </c>
      <c r="L57" s="1">
        <f t="shared" si="27"/>
        <v>52800</v>
      </c>
      <c r="M57" s="1">
        <f t="shared" si="28"/>
        <v>2112000</v>
      </c>
      <c r="N57" s="1">
        <f t="shared" si="29"/>
        <v>84480000</v>
      </c>
      <c r="O57" s="1">
        <f t="shared" si="30"/>
        <v>3379200000</v>
      </c>
      <c r="P57" s="1">
        <f t="shared" si="31"/>
        <v>40.544534717794789</v>
      </c>
      <c r="Q57" s="1">
        <f t="shared" si="32"/>
        <v>56.9200041080109</v>
      </c>
    </row>
    <row r="58" spans="1:17" x14ac:dyDescent="0.25">
      <c r="A58" s="1">
        <v>6</v>
      </c>
      <c r="B58" s="1">
        <v>50</v>
      </c>
      <c r="C58" s="1">
        <v>54</v>
      </c>
      <c r="D58" s="1">
        <f t="shared" si="19"/>
        <v>2500</v>
      </c>
      <c r="E58" s="1">
        <f t="shared" si="20"/>
        <v>125000</v>
      </c>
      <c r="F58" s="1">
        <f t="shared" si="21"/>
        <v>6250000</v>
      </c>
      <c r="G58" s="1">
        <f t="shared" si="22"/>
        <v>312500000</v>
      </c>
      <c r="H58" s="1">
        <f t="shared" si="23"/>
        <v>15625000000</v>
      </c>
      <c r="I58" s="1">
        <f t="shared" si="24"/>
        <v>781250000000</v>
      </c>
      <c r="J58" s="1">
        <f t="shared" si="25"/>
        <v>39062500000000</v>
      </c>
      <c r="K58" s="1">
        <f t="shared" si="26"/>
        <v>2700</v>
      </c>
      <c r="L58" s="1">
        <f t="shared" si="27"/>
        <v>135000</v>
      </c>
      <c r="M58" s="1">
        <f t="shared" si="28"/>
        <v>6750000</v>
      </c>
      <c r="N58" s="1">
        <f t="shared" si="29"/>
        <v>337500000</v>
      </c>
      <c r="O58" s="1">
        <f t="shared" si="30"/>
        <v>16875000000</v>
      </c>
      <c r="P58" s="1">
        <f t="shared" si="31"/>
        <v>52.415412182699725</v>
      </c>
      <c r="Q58" s="1">
        <f t="shared" si="32"/>
        <v>2.5109185507364482</v>
      </c>
    </row>
    <row r="59" spans="1:17" x14ac:dyDescent="0.25">
      <c r="A59" s="1">
        <v>7</v>
      </c>
      <c r="B59" s="1">
        <v>55</v>
      </c>
      <c r="C59" s="1">
        <v>70</v>
      </c>
      <c r="D59" s="1">
        <f t="shared" si="19"/>
        <v>3025</v>
      </c>
      <c r="E59" s="1">
        <f t="shared" si="20"/>
        <v>166375</v>
      </c>
      <c r="F59" s="1">
        <f t="shared" si="21"/>
        <v>9150625</v>
      </c>
      <c r="G59" s="1">
        <f t="shared" si="22"/>
        <v>503284375</v>
      </c>
      <c r="H59" s="1">
        <f t="shared" si="23"/>
        <v>27680640625</v>
      </c>
      <c r="I59" s="1">
        <f t="shared" si="24"/>
        <v>1522435234375</v>
      </c>
      <c r="J59" s="1">
        <f t="shared" si="25"/>
        <v>83733937890625</v>
      </c>
      <c r="K59" s="1">
        <f t="shared" si="26"/>
        <v>3850</v>
      </c>
      <c r="L59" s="1">
        <f t="shared" si="27"/>
        <v>211750</v>
      </c>
      <c r="M59" s="1">
        <f t="shared" si="28"/>
        <v>11646250</v>
      </c>
      <c r="N59" s="1">
        <f t="shared" si="29"/>
        <v>640543750</v>
      </c>
      <c r="O59" s="1">
        <f t="shared" si="30"/>
        <v>35229906250</v>
      </c>
      <c r="P59" s="1">
        <f t="shared" si="31"/>
        <v>60.047227747020372</v>
      </c>
      <c r="Q59" s="1">
        <f t="shared" si="32"/>
        <v>99.057675519681183</v>
      </c>
    </row>
    <row r="60" spans="1:17" x14ac:dyDescent="0.25">
      <c r="A60" s="1">
        <v>8</v>
      </c>
      <c r="B60" s="1">
        <v>60</v>
      </c>
      <c r="C60" s="1">
        <v>60</v>
      </c>
      <c r="D60" s="1">
        <f t="shared" si="19"/>
        <v>3600</v>
      </c>
      <c r="E60" s="1">
        <f t="shared" si="20"/>
        <v>216000</v>
      </c>
      <c r="F60" s="1">
        <f t="shared" si="21"/>
        <v>12960000</v>
      </c>
      <c r="G60" s="1">
        <f t="shared" si="22"/>
        <v>777600000</v>
      </c>
      <c r="H60" s="1">
        <f t="shared" si="23"/>
        <v>46656000000</v>
      </c>
      <c r="I60" s="1">
        <f t="shared" si="24"/>
        <v>2799360000000</v>
      </c>
      <c r="J60" s="1">
        <f t="shared" si="25"/>
        <v>167961600000000</v>
      </c>
      <c r="K60" s="1">
        <f t="shared" si="26"/>
        <v>3600</v>
      </c>
      <c r="L60" s="1">
        <f t="shared" si="27"/>
        <v>216000</v>
      </c>
      <c r="M60" s="1">
        <f t="shared" si="28"/>
        <v>12960000</v>
      </c>
      <c r="N60" s="1">
        <f t="shared" si="29"/>
        <v>777600000</v>
      </c>
      <c r="O60" s="1">
        <f t="shared" si="30"/>
        <v>46656000000</v>
      </c>
      <c r="P60" s="1">
        <f t="shared" si="31"/>
        <v>67.851438280132356</v>
      </c>
      <c r="Q60" s="1">
        <f t="shared" si="32"/>
        <v>61.645083066727736</v>
      </c>
    </row>
    <row r="61" spans="1:17" x14ac:dyDescent="0.25">
      <c r="A61" s="1">
        <v>9</v>
      </c>
      <c r="B61" s="1">
        <v>75</v>
      </c>
      <c r="C61" s="1">
        <v>78</v>
      </c>
      <c r="D61" s="1">
        <f t="shared" si="19"/>
        <v>5625</v>
      </c>
      <c r="E61" s="1">
        <f t="shared" si="20"/>
        <v>421875</v>
      </c>
      <c r="F61" s="1">
        <f t="shared" si="21"/>
        <v>31640625</v>
      </c>
      <c r="G61" s="1">
        <f t="shared" si="22"/>
        <v>2373046875</v>
      </c>
      <c r="H61" s="1">
        <f t="shared" si="23"/>
        <v>177978515625</v>
      </c>
      <c r="I61" s="1">
        <f t="shared" si="24"/>
        <v>13348388671875</v>
      </c>
      <c r="J61" s="1">
        <f t="shared" si="25"/>
        <v>1001129150390625</v>
      </c>
      <c r="K61" s="1">
        <f t="shared" si="26"/>
        <v>5850</v>
      </c>
      <c r="L61" s="1">
        <f t="shared" si="27"/>
        <v>438750</v>
      </c>
      <c r="M61" s="1">
        <f t="shared" si="28"/>
        <v>32906250</v>
      </c>
      <c r="N61" s="1">
        <f t="shared" si="29"/>
        <v>2467968750</v>
      </c>
      <c r="O61" s="1">
        <f t="shared" si="30"/>
        <v>185097656250</v>
      </c>
      <c r="P61" s="1">
        <f t="shared" si="31"/>
        <v>77.444755793628588</v>
      </c>
      <c r="Q61" s="1">
        <f t="shared" si="32"/>
        <v>0.30829612870901968</v>
      </c>
    </row>
    <row r="62" spans="1:17" x14ac:dyDescent="0.25">
      <c r="A62" s="1" t="s">
        <v>6</v>
      </c>
      <c r="B62" s="1">
        <f>SUM(B53:B61)</f>
        <v>350</v>
      </c>
      <c r="C62" s="1">
        <f t="shared" ref="C62:Q62" si="33">SUM(C53:C61)</f>
        <v>378</v>
      </c>
      <c r="D62" s="1">
        <f t="shared" si="33"/>
        <v>17700</v>
      </c>
      <c r="E62" s="1">
        <f t="shared" si="33"/>
        <v>1021250</v>
      </c>
      <c r="F62" s="1">
        <f t="shared" si="33"/>
        <v>63172500</v>
      </c>
      <c r="G62" s="1">
        <f t="shared" si="33"/>
        <v>4082656250</v>
      </c>
      <c r="H62" s="1">
        <f t="shared" si="33"/>
        <v>272356687500</v>
      </c>
      <c r="I62" s="1">
        <f t="shared" si="33"/>
        <v>18622838281250</v>
      </c>
      <c r="J62" s="1">
        <f t="shared" si="33"/>
        <v>1298621639062500</v>
      </c>
      <c r="K62" s="1">
        <f t="shared" si="33"/>
        <v>19030</v>
      </c>
      <c r="L62" s="1">
        <f t="shared" si="33"/>
        <v>1091500</v>
      </c>
      <c r="M62" s="1">
        <f t="shared" si="33"/>
        <v>67216000</v>
      </c>
      <c r="N62" s="1">
        <f t="shared" si="33"/>
        <v>4327660000</v>
      </c>
      <c r="O62" s="1">
        <f t="shared" si="33"/>
        <v>287701675000</v>
      </c>
      <c r="P62" s="1">
        <f t="shared" si="33"/>
        <v>378.00000000568798</v>
      </c>
      <c r="Q62" s="1">
        <f t="shared" si="33"/>
        <v>377.35576259759819</v>
      </c>
    </row>
    <row r="65" spans="1:12" x14ac:dyDescent="0.25">
      <c r="A65" s="1" t="s">
        <v>45</v>
      </c>
      <c r="B65" s="1">
        <f>A61</f>
        <v>9</v>
      </c>
      <c r="C65" s="1">
        <f>B62</f>
        <v>350</v>
      </c>
      <c r="D65" s="1">
        <f>D62</f>
        <v>17700</v>
      </c>
      <c r="E65" s="1">
        <f>E62</f>
        <v>1021250</v>
      </c>
      <c r="F65" s="1">
        <f>F62</f>
        <v>63172500</v>
      </c>
      <c r="H65" s="1" t="s">
        <v>35</v>
      </c>
      <c r="I65" s="1">
        <f>C62</f>
        <v>378</v>
      </c>
      <c r="K65" t="s">
        <v>14</v>
      </c>
      <c r="L65" s="1">
        <f>Q62</f>
        <v>377.35576259759819</v>
      </c>
    </row>
    <row r="66" spans="1:12" x14ac:dyDescent="0.25">
      <c r="B66" s="1">
        <f t="shared" ref="B66:E69" si="34">C65</f>
        <v>350</v>
      </c>
      <c r="C66" s="1">
        <f t="shared" si="34"/>
        <v>17700</v>
      </c>
      <c r="D66" s="1">
        <f t="shared" si="34"/>
        <v>1021250</v>
      </c>
      <c r="E66" s="1">
        <f t="shared" si="34"/>
        <v>63172500</v>
      </c>
      <c r="F66" s="1">
        <f>G62</f>
        <v>4082656250</v>
      </c>
      <c r="I66" s="1">
        <f>K62</f>
        <v>19030</v>
      </c>
      <c r="K66" t="s">
        <v>44</v>
      </c>
      <c r="L66" s="1">
        <f>SQRT(L65/A59)</f>
        <v>7.3422044431744862</v>
      </c>
    </row>
    <row r="67" spans="1:12" x14ac:dyDescent="0.25">
      <c r="B67" s="1">
        <f t="shared" si="34"/>
        <v>17700</v>
      </c>
      <c r="C67" s="1">
        <f t="shared" si="34"/>
        <v>1021250</v>
      </c>
      <c r="D67" s="1">
        <f t="shared" si="34"/>
        <v>63172500</v>
      </c>
      <c r="E67" s="1">
        <f t="shared" si="34"/>
        <v>4082656250</v>
      </c>
      <c r="F67" s="1">
        <f>H62</f>
        <v>272356687500</v>
      </c>
      <c r="I67" s="1">
        <f>L62</f>
        <v>1091500</v>
      </c>
    </row>
    <row r="68" spans="1:12" x14ac:dyDescent="0.25">
      <c r="B68" s="1">
        <f t="shared" si="34"/>
        <v>1021250</v>
      </c>
      <c r="C68" s="1">
        <f t="shared" si="34"/>
        <v>63172500</v>
      </c>
      <c r="D68" s="1">
        <f t="shared" si="34"/>
        <v>4082656250</v>
      </c>
      <c r="E68" s="1">
        <f t="shared" si="34"/>
        <v>272356687500</v>
      </c>
      <c r="F68" s="1">
        <f>I62</f>
        <v>18622838281250</v>
      </c>
      <c r="I68" s="1">
        <f>M62</f>
        <v>67216000</v>
      </c>
    </row>
    <row r="69" spans="1:12" x14ac:dyDescent="0.25">
      <c r="B69" s="1">
        <f t="shared" si="34"/>
        <v>63172500</v>
      </c>
      <c r="C69" s="1">
        <f t="shared" si="34"/>
        <v>4082656250</v>
      </c>
      <c r="D69" s="1">
        <f t="shared" si="34"/>
        <v>272356687500</v>
      </c>
      <c r="E69" s="1">
        <f t="shared" si="34"/>
        <v>18622838281250</v>
      </c>
      <c r="F69" s="1">
        <f>J62</f>
        <v>1298621639062500</v>
      </c>
      <c r="I69" s="1">
        <f>N62</f>
        <v>4327660000</v>
      </c>
    </row>
    <row r="72" spans="1:12" x14ac:dyDescent="0.25">
      <c r="A72" s="1" t="s">
        <v>46</v>
      </c>
      <c r="B72" s="1">
        <f t="array" ref="B72:F76">MINVERSE(B65:F69)</f>
        <v>26.846149700585169</v>
      </c>
      <c r="C72" s="1">
        <v>-3.6418188093521242</v>
      </c>
      <c r="D72" s="1">
        <v>0.1568875541022777</v>
      </c>
      <c r="E72" s="1">
        <v>-2.6452043005056945E-3</v>
      </c>
      <c r="F72" s="1">
        <v>1.5173159527470308E-5</v>
      </c>
      <c r="H72" s="1" t="s">
        <v>38</v>
      </c>
      <c r="I72" s="1">
        <f t="array" ref="I72:I76">MMULT(B72:F76,I65:I69)</f>
        <v>-48.97875465224206</v>
      </c>
    </row>
    <row r="73" spans="1:12" x14ac:dyDescent="0.25">
      <c r="B73" s="1">
        <v>-3.6418188093511721</v>
      </c>
      <c r="C73" s="1">
        <v>0.51588951788771742</v>
      </c>
      <c r="D73" s="1">
        <v>-2.2907268565769148E-2</v>
      </c>
      <c r="E73" s="1">
        <v>3.9402076667982431E-4</v>
      </c>
      <c r="F73" s="1">
        <v>-2.2908704948228708E-6</v>
      </c>
      <c r="H73" s="1" t="s">
        <v>39</v>
      </c>
      <c r="I73" s="1">
        <v>7.8776234574215778</v>
      </c>
    </row>
    <row r="74" spans="1:12" x14ac:dyDescent="0.25">
      <c r="B74" s="1">
        <v>0.15688755410219432</v>
      </c>
      <c r="C74" s="1">
        <v>-2.2907268565763271E-2</v>
      </c>
      <c r="D74" s="1">
        <v>1.0446849004991418E-3</v>
      </c>
      <c r="E74" s="1">
        <v>-1.83103298179101E-5</v>
      </c>
      <c r="F74" s="1">
        <v>1.0786430169461861E-7</v>
      </c>
      <c r="H74" s="1" t="s">
        <v>40</v>
      </c>
      <c r="I74" s="1">
        <v>-0.29536162994463666</v>
      </c>
    </row>
    <row r="75" spans="1:12" x14ac:dyDescent="0.25">
      <c r="B75" s="1">
        <v>-2.6452043005037442E-3</v>
      </c>
      <c r="C75" s="1">
        <v>3.940207666796465E-4</v>
      </c>
      <c r="D75" s="1">
        <v>-1.8310329817906668E-5</v>
      </c>
      <c r="E75" s="1">
        <v>3.2536941870974348E-7</v>
      </c>
      <c r="F75" s="1">
        <v>-1.9358282593489303E-9</v>
      </c>
      <c r="H75" s="1" t="s">
        <v>41</v>
      </c>
      <c r="I75" s="1">
        <v>5.0272912182567353E-3</v>
      </c>
    </row>
    <row r="76" spans="1:12" x14ac:dyDescent="0.25">
      <c r="B76" s="1">
        <v>1.51731595274566E-5</v>
      </c>
      <c r="C76" s="1">
        <v>-2.2908704948214977E-6</v>
      </c>
      <c r="D76" s="1">
        <v>1.0786430169458359E-7</v>
      </c>
      <c r="E76" s="1">
        <v>-1.9358282593486714E-9</v>
      </c>
      <c r="F76" s="1">
        <v>1.1603351257368591E-11</v>
      </c>
      <c r="H76" s="1" t="s">
        <v>42</v>
      </c>
      <c r="I76" s="1">
        <v>-2.9199093353061978E-5</v>
      </c>
    </row>
    <row r="89" spans="1:17" x14ac:dyDescent="0.25">
      <c r="A89" s="1" t="s">
        <v>7</v>
      </c>
      <c r="B89" s="1" t="s">
        <v>0</v>
      </c>
      <c r="C89" s="1" t="s">
        <v>1</v>
      </c>
      <c r="D89" s="6" t="s">
        <v>2</v>
      </c>
      <c r="E89" s="6" t="s">
        <v>24</v>
      </c>
      <c r="F89" s="1" t="s">
        <v>25</v>
      </c>
      <c r="G89" s="1" t="s">
        <v>26</v>
      </c>
      <c r="H89" s="1" t="s">
        <v>27</v>
      </c>
      <c r="I89" s="1" t="s">
        <v>28</v>
      </c>
      <c r="J89" s="1" t="s">
        <v>29</v>
      </c>
      <c r="K89" s="1" t="s">
        <v>3</v>
      </c>
      <c r="L89" s="1" t="s">
        <v>30</v>
      </c>
      <c r="M89" s="1" t="s">
        <v>31</v>
      </c>
      <c r="N89" s="1" t="s">
        <v>32</v>
      </c>
      <c r="O89" s="1" t="s">
        <v>36</v>
      </c>
      <c r="P89" s="6" t="s">
        <v>4</v>
      </c>
      <c r="Q89" s="6" t="s">
        <v>43</v>
      </c>
    </row>
    <row r="90" spans="1:17" x14ac:dyDescent="0.25">
      <c r="A90" s="1">
        <v>1</v>
      </c>
      <c r="B90" s="1">
        <v>-50</v>
      </c>
      <c r="C90" s="1">
        <v>1270</v>
      </c>
      <c r="D90" s="1">
        <f>B90^2</f>
        <v>2500</v>
      </c>
      <c r="E90" s="1">
        <f>B90^3</f>
        <v>-125000</v>
      </c>
      <c r="F90" s="1">
        <f>B90^4</f>
        <v>6250000</v>
      </c>
      <c r="G90" s="1">
        <f>B90^5</f>
        <v>-312500000</v>
      </c>
      <c r="H90" s="1">
        <f>B90^6</f>
        <v>15625000000</v>
      </c>
      <c r="I90" s="1">
        <f>B90^7</f>
        <v>-781250000000</v>
      </c>
      <c r="J90" s="1">
        <f>B90^8</f>
        <v>39062500000000</v>
      </c>
      <c r="K90" s="1">
        <f>B90*C90</f>
        <v>-63500</v>
      </c>
      <c r="L90" s="1">
        <f>D90*C90</f>
        <v>3175000</v>
      </c>
      <c r="M90" s="1">
        <f>E90*C90</f>
        <v>-158750000</v>
      </c>
      <c r="N90" s="1">
        <f>F90*C90</f>
        <v>7937500000</v>
      </c>
      <c r="O90" s="1">
        <f>G90*C90</f>
        <v>-396875000000</v>
      </c>
      <c r="P90" s="1">
        <f>$I$106+($I$107*B90)+($I$108*D90)+($I$109*E90)+($I$110*F90)</f>
        <v>-36798.567297890258</v>
      </c>
      <c r="Q90" s="1">
        <f>(C90-P90)^2</f>
        <v>1449215816.1139996</v>
      </c>
    </row>
    <row r="91" spans="1:17" x14ac:dyDescent="0.25">
      <c r="A91" s="1">
        <v>2</v>
      </c>
      <c r="B91" s="1">
        <v>-30</v>
      </c>
      <c r="C91" s="1">
        <v>1280</v>
      </c>
      <c r="D91" s="1">
        <f t="shared" ref="D91:D95" si="35">B91^2</f>
        <v>900</v>
      </c>
      <c r="E91" s="1">
        <f t="shared" ref="E91:E95" si="36">B91^3</f>
        <v>-27000</v>
      </c>
      <c r="F91" s="1">
        <f t="shared" ref="F91:F95" si="37">B91^4</f>
        <v>810000</v>
      </c>
      <c r="G91" s="1">
        <f t="shared" ref="G91:G95" si="38">B91^5</f>
        <v>-24300000</v>
      </c>
      <c r="H91" s="1">
        <f t="shared" ref="H91:H95" si="39">B91^6</f>
        <v>729000000</v>
      </c>
      <c r="I91" s="1">
        <f t="shared" ref="I91:I95" si="40">B91^7</f>
        <v>-21870000000</v>
      </c>
      <c r="J91" s="1">
        <f t="shared" ref="J91:J95" si="41">B91^8</f>
        <v>656100000000</v>
      </c>
      <c r="K91" s="1">
        <f t="shared" ref="K91:K95" si="42">B91*C91</f>
        <v>-38400</v>
      </c>
      <c r="L91" s="1">
        <f t="shared" ref="L91:L95" si="43">D91*C91</f>
        <v>1152000</v>
      </c>
      <c r="M91" s="1">
        <f t="shared" ref="M91:M95" si="44">E91*C91</f>
        <v>-34560000</v>
      </c>
      <c r="N91" s="1">
        <f t="shared" ref="N91:N95" si="45">F91*C91</f>
        <v>1036800000</v>
      </c>
      <c r="O91" s="1">
        <f t="shared" ref="O91:O95" si="46">G91*C91</f>
        <v>-31104000000</v>
      </c>
      <c r="P91" s="1">
        <f t="shared" ref="P91:P95" si="47">$I$106+($I$107*B91)+($I$108*D91)+($I$109*E91)+($I$110*F91)</f>
        <v>-110922.40980813763</v>
      </c>
      <c r="Q91" s="1">
        <f t="shared" ref="Q91:Q95" si="48">(C91-P91)^2</f>
        <v>12589380766.75326</v>
      </c>
    </row>
    <row r="92" spans="1:17" x14ac:dyDescent="0.25">
      <c r="A92" s="1">
        <v>3</v>
      </c>
      <c r="B92" s="1">
        <v>0</v>
      </c>
      <c r="C92" s="1">
        <v>1350</v>
      </c>
      <c r="D92" s="1">
        <f t="shared" si="35"/>
        <v>0</v>
      </c>
      <c r="E92" s="1">
        <f t="shared" si="36"/>
        <v>0</v>
      </c>
      <c r="F92" s="1">
        <f t="shared" si="37"/>
        <v>0</v>
      </c>
      <c r="G92" s="1">
        <f t="shared" si="38"/>
        <v>0</v>
      </c>
      <c r="H92" s="1">
        <f t="shared" si="39"/>
        <v>0</v>
      </c>
      <c r="I92" s="1">
        <f t="shared" si="40"/>
        <v>0</v>
      </c>
      <c r="J92" s="1">
        <f t="shared" si="41"/>
        <v>0</v>
      </c>
      <c r="K92" s="1">
        <f t="shared" si="42"/>
        <v>0</v>
      </c>
      <c r="L92" s="1">
        <f t="shared" si="43"/>
        <v>0</v>
      </c>
      <c r="M92" s="1">
        <f t="shared" si="44"/>
        <v>0</v>
      </c>
      <c r="N92" s="1">
        <f t="shared" si="45"/>
        <v>0</v>
      </c>
      <c r="O92" s="1">
        <f t="shared" si="46"/>
        <v>0</v>
      </c>
      <c r="P92" s="1">
        <f t="shared" si="47"/>
        <v>-233599.0009225898</v>
      </c>
      <c r="Q92" s="1">
        <f t="shared" si="48"/>
        <v>55201033034.523102</v>
      </c>
    </row>
    <row r="93" spans="1:17" x14ac:dyDescent="0.25">
      <c r="A93" s="1">
        <v>4</v>
      </c>
      <c r="B93" s="1">
        <v>60</v>
      </c>
      <c r="C93" s="1">
        <v>1480</v>
      </c>
      <c r="D93" s="1">
        <f t="shared" si="35"/>
        <v>3600</v>
      </c>
      <c r="E93" s="1">
        <f t="shared" si="36"/>
        <v>216000</v>
      </c>
      <c r="F93" s="1">
        <f t="shared" si="37"/>
        <v>12960000</v>
      </c>
      <c r="G93" s="1">
        <f t="shared" si="38"/>
        <v>777600000</v>
      </c>
      <c r="H93" s="1">
        <f t="shared" si="39"/>
        <v>46656000000</v>
      </c>
      <c r="I93" s="1">
        <f t="shared" si="40"/>
        <v>2799360000000</v>
      </c>
      <c r="J93" s="1">
        <f t="shared" si="41"/>
        <v>167961600000000</v>
      </c>
      <c r="K93" s="1">
        <f t="shared" si="42"/>
        <v>88800</v>
      </c>
      <c r="L93" s="1">
        <f t="shared" si="43"/>
        <v>5328000</v>
      </c>
      <c r="M93" s="1">
        <f t="shared" si="44"/>
        <v>319680000</v>
      </c>
      <c r="N93" s="1">
        <f t="shared" si="45"/>
        <v>19180800000</v>
      </c>
      <c r="O93" s="1">
        <f t="shared" si="46"/>
        <v>1150848000000</v>
      </c>
      <c r="P93" s="1">
        <f t="shared" si="47"/>
        <v>14959.000922618434</v>
      </c>
      <c r="Q93" s="1">
        <f t="shared" si="48"/>
        <v>181683465.8719486</v>
      </c>
    </row>
    <row r="94" spans="1:17" x14ac:dyDescent="0.25">
      <c r="A94" s="1">
        <v>5</v>
      </c>
      <c r="B94" s="1">
        <v>90</v>
      </c>
      <c r="C94" s="1">
        <v>1580</v>
      </c>
      <c r="D94" s="1">
        <f t="shared" si="35"/>
        <v>8100</v>
      </c>
      <c r="E94" s="1">
        <f t="shared" si="36"/>
        <v>729000</v>
      </c>
      <c r="F94" s="1">
        <f t="shared" si="37"/>
        <v>65610000</v>
      </c>
      <c r="G94" s="1">
        <f t="shared" si="38"/>
        <v>5904900000</v>
      </c>
      <c r="H94" s="1">
        <f t="shared" si="39"/>
        <v>531441000000</v>
      </c>
      <c r="I94" s="1">
        <f t="shared" si="40"/>
        <v>47829690000000</v>
      </c>
      <c r="J94" s="1">
        <f t="shared" si="41"/>
        <v>4304672100000000</v>
      </c>
      <c r="K94" s="1">
        <f t="shared" si="42"/>
        <v>142200</v>
      </c>
      <c r="L94" s="1">
        <f t="shared" si="43"/>
        <v>12798000</v>
      </c>
      <c r="M94" s="1">
        <f t="shared" si="44"/>
        <v>1151820000</v>
      </c>
      <c r="N94" s="1">
        <f t="shared" si="45"/>
        <v>103663800000</v>
      </c>
      <c r="O94" s="1">
        <f t="shared" si="46"/>
        <v>9329742000000</v>
      </c>
      <c r="P94" s="1">
        <f t="shared" si="47"/>
        <v>214722.40980816493</v>
      </c>
      <c r="Q94" s="1">
        <f t="shared" si="48"/>
        <v>45429686858.831718</v>
      </c>
    </row>
    <row r="95" spans="1:17" x14ac:dyDescent="0.25">
      <c r="A95" s="7">
        <v>6</v>
      </c>
      <c r="B95" s="1">
        <v>110</v>
      </c>
      <c r="C95" s="1">
        <v>1700</v>
      </c>
      <c r="D95" s="1">
        <f t="shared" si="35"/>
        <v>12100</v>
      </c>
      <c r="E95" s="1">
        <f t="shared" si="36"/>
        <v>1331000</v>
      </c>
      <c r="F95" s="1">
        <f t="shared" si="37"/>
        <v>146410000</v>
      </c>
      <c r="G95" s="1">
        <f t="shared" si="38"/>
        <v>16105100000</v>
      </c>
      <c r="H95" s="1">
        <f t="shared" si="39"/>
        <v>1771561000000</v>
      </c>
      <c r="I95" s="1">
        <f t="shared" si="40"/>
        <v>194871710000000</v>
      </c>
      <c r="J95" s="1">
        <f t="shared" si="41"/>
        <v>2.14358881E+16</v>
      </c>
      <c r="K95" s="1">
        <f t="shared" si="42"/>
        <v>187000</v>
      </c>
      <c r="L95" s="1">
        <f t="shared" si="43"/>
        <v>20570000</v>
      </c>
      <c r="M95" s="1">
        <f t="shared" si="44"/>
        <v>2262700000</v>
      </c>
      <c r="N95" s="1">
        <f t="shared" si="45"/>
        <v>248897000000</v>
      </c>
      <c r="O95" s="1">
        <f t="shared" si="46"/>
        <v>27378670000000</v>
      </c>
      <c r="P95" s="1">
        <f t="shared" si="47"/>
        <v>160298.56729791104</v>
      </c>
      <c r="Q95" s="1">
        <f t="shared" si="48"/>
        <v>25153505548.950016</v>
      </c>
    </row>
    <row r="96" spans="1:17" x14ac:dyDescent="0.25">
      <c r="A96" s="1" t="s">
        <v>47</v>
      </c>
      <c r="B96" s="1">
        <f>SUM(B90:B95)</f>
        <v>180</v>
      </c>
      <c r="C96" s="1">
        <f t="shared" ref="C96:P96" si="49">SUM(C90:C95)</f>
        <v>8660</v>
      </c>
      <c r="D96" s="1">
        <f t="shared" si="49"/>
        <v>27200</v>
      </c>
      <c r="E96" s="1">
        <f t="shared" si="49"/>
        <v>2124000</v>
      </c>
      <c r="F96" s="1">
        <f t="shared" si="49"/>
        <v>232040000</v>
      </c>
      <c r="G96" s="1">
        <f t="shared" si="49"/>
        <v>22450800000</v>
      </c>
      <c r="H96" s="1">
        <f t="shared" si="49"/>
        <v>2366012000000</v>
      </c>
      <c r="I96" s="1">
        <f t="shared" si="49"/>
        <v>244697640000000</v>
      </c>
      <c r="J96" s="1">
        <f t="shared" si="49"/>
        <v>2.59482404E+16</v>
      </c>
      <c r="K96" s="1">
        <f t="shared" si="49"/>
        <v>316100</v>
      </c>
      <c r="L96" s="1">
        <f t="shared" si="49"/>
        <v>43023000</v>
      </c>
      <c r="M96" s="1">
        <f t="shared" si="49"/>
        <v>3540890000</v>
      </c>
      <c r="N96" s="1">
        <f t="shared" si="49"/>
        <v>380715900000</v>
      </c>
      <c r="O96" s="1">
        <f t="shared" si="49"/>
        <v>37431281000000</v>
      </c>
      <c r="P96" s="1">
        <f t="shared" si="49"/>
        <v>8660.0000000767177</v>
      </c>
      <c r="Q96" s="1">
        <f>SUM(Q90:Q95)</f>
        <v>140004505491.04404</v>
      </c>
    </row>
    <row r="99" spans="1:12" x14ac:dyDescent="0.25">
      <c r="A99" t="s">
        <v>34</v>
      </c>
      <c r="B99" s="1">
        <f>A95</f>
        <v>6</v>
      </c>
      <c r="C99" s="1">
        <f>B96</f>
        <v>180</v>
      </c>
      <c r="D99" s="1">
        <f>D96</f>
        <v>27200</v>
      </c>
      <c r="E99" s="1">
        <f>E96</f>
        <v>2124000</v>
      </c>
      <c r="F99" s="1">
        <f>F96</f>
        <v>232040000</v>
      </c>
      <c r="H99" t="s">
        <v>35</v>
      </c>
      <c r="I99" s="1">
        <f>C96</f>
        <v>8660</v>
      </c>
      <c r="K99" t="s">
        <v>14</v>
      </c>
      <c r="L99" s="1">
        <f>Q96</f>
        <v>140004505491.04404</v>
      </c>
    </row>
    <row r="100" spans="1:12" x14ac:dyDescent="0.25">
      <c r="B100" s="1">
        <f t="shared" ref="B100:E103" si="50">C99</f>
        <v>180</v>
      </c>
      <c r="C100" s="1">
        <f t="shared" si="50"/>
        <v>27200</v>
      </c>
      <c r="D100" s="1">
        <f t="shared" si="50"/>
        <v>2124000</v>
      </c>
      <c r="E100" s="1">
        <f t="shared" si="50"/>
        <v>232040000</v>
      </c>
      <c r="F100" s="1">
        <f>G96</f>
        <v>22450800000</v>
      </c>
      <c r="I100" s="1">
        <f>L96</f>
        <v>43023000</v>
      </c>
      <c r="K100" t="s">
        <v>44</v>
      </c>
      <c r="L100" s="1">
        <f>SQRT(L99/A93)</f>
        <v>187085.8796723072</v>
      </c>
    </row>
    <row r="101" spans="1:12" x14ac:dyDescent="0.25">
      <c r="B101" s="1">
        <f t="shared" si="50"/>
        <v>27200</v>
      </c>
      <c r="C101" s="1">
        <f t="shared" si="50"/>
        <v>2124000</v>
      </c>
      <c r="D101" s="1">
        <f t="shared" si="50"/>
        <v>232040000</v>
      </c>
      <c r="E101" s="1">
        <f t="shared" si="50"/>
        <v>22450800000</v>
      </c>
      <c r="F101" s="1">
        <f>H96</f>
        <v>2366012000000</v>
      </c>
      <c r="I101" s="1">
        <f>M96</f>
        <v>3540890000</v>
      </c>
    </row>
    <row r="102" spans="1:12" x14ac:dyDescent="0.25">
      <c r="B102" s="1">
        <f t="shared" si="50"/>
        <v>2124000</v>
      </c>
      <c r="C102" s="1">
        <f t="shared" si="50"/>
        <v>232040000</v>
      </c>
      <c r="D102" s="1">
        <f t="shared" si="50"/>
        <v>22450800000</v>
      </c>
      <c r="E102" s="1">
        <f t="shared" si="50"/>
        <v>2366012000000</v>
      </c>
      <c r="F102" s="1">
        <f>I96</f>
        <v>244697640000000</v>
      </c>
      <c r="I102" s="1">
        <f>N96</f>
        <v>380715900000</v>
      </c>
    </row>
    <row r="103" spans="1:12" x14ac:dyDescent="0.25">
      <c r="B103" s="1">
        <f t="shared" si="50"/>
        <v>232040000</v>
      </c>
      <c r="C103" s="1">
        <f t="shared" si="50"/>
        <v>22450800000</v>
      </c>
      <c r="D103" s="1">
        <f t="shared" si="50"/>
        <v>2366012000000</v>
      </c>
      <c r="E103" s="1">
        <f t="shared" si="50"/>
        <v>244697640000000</v>
      </c>
      <c r="F103" s="1">
        <f>J96</f>
        <v>2.59482404E+16</v>
      </c>
      <c r="I103" s="1">
        <f>O96</f>
        <v>37431281000000</v>
      </c>
    </row>
    <row r="106" spans="1:12" x14ac:dyDescent="0.25">
      <c r="A106" t="s">
        <v>48</v>
      </c>
      <c r="B106" s="1">
        <f t="array" ref="B106:F110">MINVERSE(B99:F103)</f>
        <v>0.76137801154684071</v>
      </c>
      <c r="C106" s="1">
        <v>1.1057446642730747E-2</v>
      </c>
      <c r="D106" s="1">
        <v>-3.1510167798058994E-4</v>
      </c>
      <c r="E106" s="1">
        <v>-2.2601871170881471E-6</v>
      </c>
      <c r="F106" s="1">
        <v>3.3670033670034432E-8</v>
      </c>
      <c r="H106" t="s">
        <v>38</v>
      </c>
      <c r="I106" s="1">
        <f t="array" ref="I106:I110">MMULT(B106:F110,I99:I103)</f>
        <v>-233599.0009225898</v>
      </c>
    </row>
    <row r="107" spans="1:12" x14ac:dyDescent="0.25">
      <c r="B107" s="1">
        <v>1.1057446642730714E-2</v>
      </c>
      <c r="C107" s="1">
        <v>1.680314979423291E-3</v>
      </c>
      <c r="D107" s="1">
        <v>-7.3013004688390356E-6</v>
      </c>
      <c r="E107" s="1">
        <v>-5.5470575143329818E-7</v>
      </c>
      <c r="F107" s="1">
        <v>4.3440312560083189E-9</v>
      </c>
      <c r="H107" t="s">
        <v>39</v>
      </c>
      <c r="I107" s="1">
        <v>-2047.79774512726</v>
      </c>
    </row>
    <row r="108" spans="1:12" x14ac:dyDescent="0.25">
      <c r="B108" s="1">
        <v>-3.1510167798059027E-4</v>
      </c>
      <c r="C108" s="1">
        <v>-7.3013004688390982E-6</v>
      </c>
      <c r="D108" s="1">
        <v>1.9789976963668627E-7</v>
      </c>
      <c r="E108" s="1">
        <v>1.7225754257926018E-9</v>
      </c>
      <c r="F108" s="1">
        <v>-2.515419663086873E-11</v>
      </c>
      <c r="H108" t="s">
        <v>40</v>
      </c>
      <c r="I108" s="1">
        <v>98.146735835882623</v>
      </c>
    </row>
    <row r="109" spans="1:12" x14ac:dyDescent="0.25">
      <c r="B109" s="1">
        <v>-2.260187117088142E-6</v>
      </c>
      <c r="C109" s="1">
        <v>-5.5470575143329755E-7</v>
      </c>
      <c r="D109" s="1">
        <v>1.7225754257925683E-9</v>
      </c>
      <c r="E109" s="1">
        <v>2.0338449909831979E-10</v>
      </c>
      <c r="F109" s="1">
        <v>-1.5748774767534331E-12</v>
      </c>
      <c r="H109" t="s">
        <v>41</v>
      </c>
      <c r="I109" s="1">
        <v>0.69680258242318871</v>
      </c>
    </row>
    <row r="110" spans="1:12" x14ac:dyDescent="0.25">
      <c r="B110" s="1">
        <v>3.3670033670034001E-8</v>
      </c>
      <c r="C110" s="1">
        <v>4.3440312560083189E-9</v>
      </c>
      <c r="D110" s="1">
        <v>-2.5154196630868443E-11</v>
      </c>
      <c r="E110" s="1">
        <v>-1.5748774767534357E-12</v>
      </c>
      <c r="F110" s="1">
        <v>1.3123978972945255E-14</v>
      </c>
      <c r="H110" t="s">
        <v>42</v>
      </c>
      <c r="I110" s="1">
        <v>-1.021695526695543E-2</v>
      </c>
    </row>
    <row r="125" spans="1:18" x14ac:dyDescent="0.25">
      <c r="A125" s="1" t="s">
        <v>7</v>
      </c>
      <c r="B125" s="1" t="s">
        <v>0</v>
      </c>
      <c r="C125" s="1" t="s">
        <v>21</v>
      </c>
      <c r="D125" s="1" t="s">
        <v>1</v>
      </c>
      <c r="E125" s="6" t="s">
        <v>2</v>
      </c>
      <c r="F125" s="6" t="s">
        <v>24</v>
      </c>
      <c r="G125" s="1" t="s">
        <v>25</v>
      </c>
      <c r="H125" s="1" t="s">
        <v>26</v>
      </c>
      <c r="I125" s="1" t="s">
        <v>27</v>
      </c>
      <c r="J125" s="1" t="s">
        <v>28</v>
      </c>
      <c r="K125" s="1" t="s">
        <v>29</v>
      </c>
      <c r="L125" s="1" t="s">
        <v>3</v>
      </c>
      <c r="M125" s="1" t="s">
        <v>30</v>
      </c>
      <c r="N125" s="1" t="s">
        <v>31</v>
      </c>
      <c r="O125" s="1" t="s">
        <v>32</v>
      </c>
      <c r="P125" s="1" t="s">
        <v>36</v>
      </c>
      <c r="Q125" s="6" t="s">
        <v>4</v>
      </c>
      <c r="R125" s="6" t="s">
        <v>43</v>
      </c>
    </row>
    <row r="126" spans="1:18" x14ac:dyDescent="0.25">
      <c r="A126" s="1">
        <v>1</v>
      </c>
      <c r="B126" s="1">
        <v>-40</v>
      </c>
      <c r="C126" s="1">
        <f>B126+273.15</f>
        <v>233.14999999999998</v>
      </c>
      <c r="D126" s="1">
        <v>6900</v>
      </c>
      <c r="E126" s="1">
        <f>C126^2</f>
        <v>54358.922499999986</v>
      </c>
      <c r="F126" s="1">
        <f>C126^3</f>
        <v>12673782.780874996</v>
      </c>
      <c r="G126" s="1">
        <f>C126^4</f>
        <v>2954892455.3610048</v>
      </c>
      <c r="H126" s="1">
        <f>C126^5</f>
        <v>688933175967.41821</v>
      </c>
      <c r="I126" s="1">
        <f>C126^6</f>
        <v>160624769976803.53</v>
      </c>
      <c r="J126" s="1">
        <f>C126^7</f>
        <v>3.7449665120091736E+16</v>
      </c>
      <c r="K126" s="1">
        <f>C126^8</f>
        <v>8.7313894227493878E+18</v>
      </c>
      <c r="L126" s="1">
        <f>C126*D126</f>
        <v>1608734.9999999998</v>
      </c>
      <c r="M126" s="1">
        <f>E126*D126</f>
        <v>375076565.24999988</v>
      </c>
      <c r="N126" s="1">
        <f>F126*D126</f>
        <v>87449101188.037476</v>
      </c>
      <c r="O126" s="1">
        <f>G126*D126</f>
        <v>20388757941990.934</v>
      </c>
      <c r="P126" s="1">
        <f>H126*D126</f>
        <v>4753638914175186</v>
      </c>
      <c r="Q126" s="1">
        <f>($I$142)+($I$143*C126)+($I$144*E126)+($I$145*F126)+($I$146*G126)</f>
        <v>6827.6984859355462</v>
      </c>
      <c r="R126" s="1">
        <f>(D126-Q126)^2</f>
        <v>5227.5089360124166</v>
      </c>
    </row>
    <row r="127" spans="1:18" x14ac:dyDescent="0.25">
      <c r="A127" s="1">
        <v>2</v>
      </c>
      <c r="B127" s="1">
        <v>0</v>
      </c>
      <c r="C127" s="1">
        <f t="shared" ref="C127:C131" si="51">B127+273.15</f>
        <v>273.14999999999998</v>
      </c>
      <c r="D127" s="1">
        <v>8100</v>
      </c>
      <c r="E127" s="1">
        <f t="shared" ref="E127:E131" si="52">C127^2</f>
        <v>74610.922499999986</v>
      </c>
      <c r="F127" s="1">
        <f t="shared" ref="F127:F131" si="53">C127^3</f>
        <v>20379973.480874993</v>
      </c>
      <c r="G127" s="1">
        <f t="shared" ref="G127:G131" si="54">C127^4</f>
        <v>5566789756.3010044</v>
      </c>
      <c r="H127" s="1">
        <f t="shared" ref="H127:H131" si="55">C127^5</f>
        <v>1520568621933.6191</v>
      </c>
      <c r="I127" s="1">
        <f t="shared" ref="I127:I131" si="56">C127^6</f>
        <v>415343319081168.06</v>
      </c>
      <c r="J127" s="1">
        <f t="shared" ref="J127:J131" si="57">C127^7</f>
        <v>1.1345102760702104E+17</v>
      </c>
      <c r="K127" s="1">
        <f t="shared" ref="K127:K131" si="58">C127^8</f>
        <v>3.0989148190857798E+19</v>
      </c>
      <c r="L127" s="1">
        <f t="shared" ref="L127:L131" si="59">C127*D127</f>
        <v>2212515</v>
      </c>
      <c r="M127" s="1">
        <f t="shared" ref="M127:M131" si="60">E127*D127</f>
        <v>604348472.24999988</v>
      </c>
      <c r="N127" s="1">
        <f t="shared" ref="N127:N131" si="61">F127*D127</f>
        <v>165077785195.08743</v>
      </c>
      <c r="O127" s="1">
        <f t="shared" ref="O127:O131" si="62">G127*D127</f>
        <v>45090997026038.133</v>
      </c>
      <c r="P127" s="1">
        <f t="shared" ref="P127:P131" si="63">H127*D127</f>
        <v>1.2316605837662316E+16</v>
      </c>
      <c r="Q127" s="1">
        <f t="shared" ref="Q127:Q131" si="64">($I$142)+($I$143*C127)+($I$144*E127)+($I$145*F127)+($I$146*G127)</f>
        <v>8152.6457490244793</v>
      </c>
      <c r="R127" s="1">
        <f t="shared" ref="R127:R131" si="65">(D127-Q127)^2</f>
        <v>2771.5748903484632</v>
      </c>
    </row>
    <row r="128" spans="1:18" x14ac:dyDescent="0.25">
      <c r="A128" s="1">
        <v>3</v>
      </c>
      <c r="B128" s="1">
        <v>40</v>
      </c>
      <c r="C128" s="1">
        <f t="shared" si="51"/>
        <v>313.14999999999998</v>
      </c>
      <c r="D128" s="1">
        <v>9300</v>
      </c>
      <c r="E128" s="1">
        <f t="shared" si="52"/>
        <v>98062.922499999986</v>
      </c>
      <c r="F128" s="1">
        <f t="shared" si="53"/>
        <v>30708404.180874992</v>
      </c>
      <c r="G128" s="1">
        <f t="shared" si="54"/>
        <v>9616336769.241003</v>
      </c>
      <c r="H128" s="1">
        <f t="shared" si="55"/>
        <v>3011355859287.8198</v>
      </c>
      <c r="I128" s="1">
        <f t="shared" si="56"/>
        <v>943006087335980.75</v>
      </c>
      <c r="J128" s="1">
        <f t="shared" si="57"/>
        <v>2.9530235624926234E+17</v>
      </c>
      <c r="K128" s="1">
        <f t="shared" si="58"/>
        <v>9.2473932859456487E+19</v>
      </c>
      <c r="L128" s="1">
        <f t="shared" si="59"/>
        <v>2912295</v>
      </c>
      <c r="M128" s="1">
        <f t="shared" si="60"/>
        <v>911985179.24999988</v>
      </c>
      <c r="N128" s="1">
        <f t="shared" si="61"/>
        <v>285588158882.13745</v>
      </c>
      <c r="O128" s="1">
        <f t="shared" si="62"/>
        <v>89431931953941.328</v>
      </c>
      <c r="P128" s="1">
        <f t="shared" si="63"/>
        <v>2.8005609491376724E+16</v>
      </c>
      <c r="Q128" s="1">
        <f t="shared" si="64"/>
        <v>9358.462490916927</v>
      </c>
      <c r="R128" s="1">
        <f t="shared" si="65"/>
        <v>3417.8628442117697</v>
      </c>
    </row>
    <row r="129" spans="1:18" x14ac:dyDescent="0.25">
      <c r="A129" s="1">
        <v>4</v>
      </c>
      <c r="B129" s="1">
        <v>80</v>
      </c>
      <c r="C129" s="1">
        <f t="shared" si="51"/>
        <v>353.15</v>
      </c>
      <c r="D129" s="1">
        <v>10500</v>
      </c>
      <c r="E129" s="1">
        <f t="shared" si="52"/>
        <v>124714.92249999999</v>
      </c>
      <c r="F129" s="1">
        <f t="shared" si="53"/>
        <v>44043074.880874991</v>
      </c>
      <c r="G129" s="1">
        <f t="shared" si="54"/>
        <v>15553811894.181004</v>
      </c>
      <c r="H129" s="1">
        <f t="shared" si="55"/>
        <v>5492828670430.0215</v>
      </c>
      <c r="I129" s="1">
        <f t="shared" si="56"/>
        <v>1939792444962361.7</v>
      </c>
      <c r="J129" s="1">
        <f t="shared" si="57"/>
        <v>6.8503770193845798E+17</v>
      </c>
      <c r="K129" s="1">
        <f t="shared" si="58"/>
        <v>2.4192106443956647E+20</v>
      </c>
      <c r="L129" s="1">
        <f t="shared" si="59"/>
        <v>3708074.9999999995</v>
      </c>
      <c r="M129" s="1">
        <f t="shared" si="60"/>
        <v>1309506686.2499998</v>
      </c>
      <c r="N129" s="1">
        <f t="shared" si="61"/>
        <v>462452286249.18744</v>
      </c>
      <c r="O129" s="1">
        <f t="shared" si="62"/>
        <v>163315024888900.53</v>
      </c>
      <c r="P129" s="1">
        <f t="shared" si="63"/>
        <v>5.7674701039515224E+16</v>
      </c>
      <c r="Q129" s="1">
        <f t="shared" si="64"/>
        <v>10488.258249096618</v>
      </c>
      <c r="R129" s="1">
        <f t="shared" si="65"/>
        <v>137.86871427707499</v>
      </c>
    </row>
    <row r="130" spans="1:18" x14ac:dyDescent="0.25">
      <c r="A130" s="1">
        <v>5</v>
      </c>
      <c r="B130" s="1">
        <v>120</v>
      </c>
      <c r="C130" s="1">
        <f t="shared" si="51"/>
        <v>393.15</v>
      </c>
      <c r="D130" s="1">
        <v>11700</v>
      </c>
      <c r="E130" s="1">
        <f t="shared" si="52"/>
        <v>154566.92249999999</v>
      </c>
      <c r="F130" s="1">
        <f t="shared" si="53"/>
        <v>60767985.580874994</v>
      </c>
      <c r="G130" s="1">
        <f t="shared" si="54"/>
        <v>23890933531.121002</v>
      </c>
      <c r="H130" s="1">
        <f t="shared" si="55"/>
        <v>9392720517760.2207</v>
      </c>
      <c r="I130" s="1">
        <f t="shared" si="56"/>
        <v>3692748071557431</v>
      </c>
      <c r="J130" s="1">
        <f t="shared" si="57"/>
        <v>1.4518039043328041E+18</v>
      </c>
      <c r="K130" s="1">
        <f t="shared" si="58"/>
        <v>5.7077670498844187E+20</v>
      </c>
      <c r="L130" s="1">
        <f t="shared" si="59"/>
        <v>4599855</v>
      </c>
      <c r="M130" s="1">
        <f t="shared" si="60"/>
        <v>1808432993.2499998</v>
      </c>
      <c r="N130" s="1">
        <f t="shared" si="61"/>
        <v>710985431296.23743</v>
      </c>
      <c r="O130" s="1">
        <f t="shared" si="62"/>
        <v>279523922314115.72</v>
      </c>
      <c r="P130" s="1">
        <f t="shared" si="63"/>
        <v>1.0989483005779458E+17</v>
      </c>
      <c r="Q130" s="1">
        <f t="shared" si="64"/>
        <v>11633.162319084735</v>
      </c>
      <c r="R130" s="1">
        <f t="shared" si="65"/>
        <v>4467.2755901307901</v>
      </c>
    </row>
    <row r="131" spans="1:18" x14ac:dyDescent="0.25">
      <c r="A131" s="1">
        <v>6</v>
      </c>
      <c r="B131" s="1">
        <v>160</v>
      </c>
      <c r="C131" s="1">
        <f t="shared" si="51"/>
        <v>433.15</v>
      </c>
      <c r="D131" s="1">
        <v>12900</v>
      </c>
      <c r="E131" s="1">
        <f t="shared" si="52"/>
        <v>187618.92249999999</v>
      </c>
      <c r="F131" s="1">
        <f t="shared" si="53"/>
        <v>81267136.280874982</v>
      </c>
      <c r="G131" s="1">
        <f t="shared" si="54"/>
        <v>35200860080.061005</v>
      </c>
      <c r="H131" s="1">
        <f t="shared" si="55"/>
        <v>15247252543678.424</v>
      </c>
      <c r="I131" s="1">
        <f t="shared" si="56"/>
        <v>6604347439294309</v>
      </c>
      <c r="J131" s="1">
        <f t="shared" si="57"/>
        <v>2.8606730933303296E+18</v>
      </c>
      <c r="K131" s="1">
        <f t="shared" si="58"/>
        <v>1.2391005503760326E+21</v>
      </c>
      <c r="L131" s="1">
        <f t="shared" si="59"/>
        <v>5587635</v>
      </c>
      <c r="M131" s="1">
        <f t="shared" si="60"/>
        <v>2420284100.25</v>
      </c>
      <c r="N131" s="1">
        <f t="shared" si="61"/>
        <v>1048346058023.2872</v>
      </c>
      <c r="O131" s="1">
        <f t="shared" si="62"/>
        <v>454091095032786.94</v>
      </c>
      <c r="P131" s="1">
        <f t="shared" si="63"/>
        <v>1.9668955781345168E+17</v>
      </c>
      <c r="Q131" s="1">
        <f t="shared" si="64"/>
        <v>12932.323754439905</v>
      </c>
      <c r="R131" s="1">
        <f t="shared" si="65"/>
        <v>1044.8251010912986</v>
      </c>
    </row>
    <row r="132" spans="1:18" x14ac:dyDescent="0.25">
      <c r="A132" s="1" t="s">
        <v>6</v>
      </c>
      <c r="B132" s="1">
        <f>SUM(B123:B131)</f>
        <v>360</v>
      </c>
      <c r="C132" s="1">
        <f t="shared" ref="C132:R132" si="66">SUM(C123:C131)</f>
        <v>1998.9</v>
      </c>
      <c r="D132" s="1">
        <f t="shared" si="66"/>
        <v>59400</v>
      </c>
      <c r="E132" s="1">
        <f t="shared" si="66"/>
        <v>693933.53499999992</v>
      </c>
      <c r="F132" s="1">
        <f t="shared" si="66"/>
        <v>249840357.18524992</v>
      </c>
      <c r="G132" s="1">
        <f t="shared" si="66"/>
        <v>92783624486.266022</v>
      </c>
      <c r="H132" s="1">
        <f t="shared" si="66"/>
        <v>35353659389057.523</v>
      </c>
      <c r="I132" s="1">
        <f t="shared" si="66"/>
        <v>1.3755862132208054E+16</v>
      </c>
      <c r="J132" s="1">
        <f t="shared" si="66"/>
        <v>5.4437177485779671E+18</v>
      </c>
      <c r="K132" s="1">
        <f t="shared" si="66"/>
        <v>2.1839927902771046E+21</v>
      </c>
      <c r="L132" s="1">
        <f t="shared" si="66"/>
        <v>20629110</v>
      </c>
      <c r="M132" s="1">
        <f t="shared" si="66"/>
        <v>7429633996.499999</v>
      </c>
      <c r="N132" s="1">
        <f t="shared" si="66"/>
        <v>2759898820833.9741</v>
      </c>
      <c r="O132" s="1">
        <f t="shared" si="66"/>
        <v>1051841729157773.5</v>
      </c>
      <c r="P132" s="1">
        <f t="shared" si="66"/>
        <v>4.0933494315397568E+17</v>
      </c>
      <c r="Q132" s="1">
        <f t="shared" si="66"/>
        <v>59392.551048498208</v>
      </c>
      <c r="R132" s="1">
        <f t="shared" si="66"/>
        <v>17066.916076071811</v>
      </c>
    </row>
    <row r="135" spans="1:18" x14ac:dyDescent="0.25">
      <c r="A135" t="s">
        <v>34</v>
      </c>
      <c r="B135" s="1">
        <f>A131</f>
        <v>6</v>
      </c>
      <c r="C135" s="1">
        <f>B132</f>
        <v>360</v>
      </c>
      <c r="D135" s="1">
        <f>E132</f>
        <v>693933.53499999992</v>
      </c>
      <c r="E135" s="1">
        <f>F132</f>
        <v>249840357.18524992</v>
      </c>
      <c r="F135" s="1">
        <f>G132</f>
        <v>92783624486.266022</v>
      </c>
      <c r="H135" t="s">
        <v>35</v>
      </c>
      <c r="I135" s="1">
        <f>D132</f>
        <v>59400</v>
      </c>
      <c r="K135" t="s">
        <v>14</v>
      </c>
      <c r="L135" s="1">
        <f>R132</f>
        <v>17066.916076071811</v>
      </c>
    </row>
    <row r="136" spans="1:18" x14ac:dyDescent="0.25">
      <c r="B136" s="1">
        <f t="shared" ref="B136:E139" si="67">C135</f>
        <v>360</v>
      </c>
      <c r="C136" s="1">
        <f t="shared" si="67"/>
        <v>693933.53499999992</v>
      </c>
      <c r="D136" s="1">
        <f t="shared" si="67"/>
        <v>249840357.18524992</v>
      </c>
      <c r="E136" s="1">
        <f t="shared" si="67"/>
        <v>92783624486.266022</v>
      </c>
      <c r="F136" s="1">
        <f>H132</f>
        <v>35353659389057.523</v>
      </c>
      <c r="I136" s="1">
        <f>L132</f>
        <v>20629110</v>
      </c>
      <c r="K136" t="s">
        <v>44</v>
      </c>
      <c r="L136" s="1">
        <f>SQRT(L135/A129)</f>
        <v>65.320203758239714</v>
      </c>
    </row>
    <row r="137" spans="1:18" x14ac:dyDescent="0.25">
      <c r="B137" s="1">
        <f t="shared" si="67"/>
        <v>693933.53499999992</v>
      </c>
      <c r="C137" s="1">
        <f t="shared" si="67"/>
        <v>249840357.18524992</v>
      </c>
      <c r="D137" s="1">
        <f t="shared" si="67"/>
        <v>92783624486.266022</v>
      </c>
      <c r="E137" s="1">
        <f t="shared" si="67"/>
        <v>35353659389057.523</v>
      </c>
      <c r="F137" s="1">
        <f>I132</f>
        <v>1.3755862132208054E+16</v>
      </c>
      <c r="I137" s="1">
        <f>M132</f>
        <v>7429633996.499999</v>
      </c>
    </row>
    <row r="138" spans="1:18" x14ac:dyDescent="0.25">
      <c r="B138" s="1">
        <f t="shared" si="67"/>
        <v>249840357.18524992</v>
      </c>
      <c r="C138" s="1">
        <f t="shared" si="67"/>
        <v>92783624486.266022</v>
      </c>
      <c r="D138" s="1">
        <f t="shared" si="67"/>
        <v>35353659389057.523</v>
      </c>
      <c r="E138" s="1">
        <f t="shared" si="67"/>
        <v>1.3755862132208054E+16</v>
      </c>
      <c r="F138" s="1">
        <f>J132</f>
        <v>5.4437177485779671E+18</v>
      </c>
      <c r="I138" s="1">
        <f>N132</f>
        <v>2759898820833.9741</v>
      </c>
    </row>
    <row r="139" spans="1:18" x14ac:dyDescent="0.25">
      <c r="B139" s="1">
        <f t="shared" si="67"/>
        <v>92783624486.266022</v>
      </c>
      <c r="C139" s="1">
        <f t="shared" si="67"/>
        <v>35353659389057.523</v>
      </c>
      <c r="D139" s="1">
        <f t="shared" si="67"/>
        <v>1.3755862132208054E+16</v>
      </c>
      <c r="E139" s="1">
        <f t="shared" si="67"/>
        <v>5.4437177485779671E+18</v>
      </c>
      <c r="F139" s="1">
        <f>K132</f>
        <v>2.1839927902771046E+21</v>
      </c>
      <c r="I139" s="1">
        <f>O132</f>
        <v>1051841729157773.5</v>
      </c>
    </row>
    <row r="142" spans="1:18" x14ac:dyDescent="0.25">
      <c r="A142" t="s">
        <v>46</v>
      </c>
      <c r="B142" s="1">
        <f t="array" ref="B142:F146">MINVERSE(B135:F139)</f>
        <v>-7.6522361244230306E-6</v>
      </c>
      <c r="C142" s="1">
        <v>-6.1026161614248823E-4</v>
      </c>
      <c r="D142" s="1">
        <v>5.615087736458057E-6</v>
      </c>
      <c r="E142" s="1">
        <v>-1.6795370606507246E-8</v>
      </c>
      <c r="F142" s="1">
        <v>1.637577549632906E-11</v>
      </c>
      <c r="H142" t="s">
        <v>38</v>
      </c>
      <c r="I142" s="1">
        <f t="array" ref="I142:I146">MMULT(B142:F146,I135:I139)</f>
        <v>-0.36132889862346929</v>
      </c>
    </row>
    <row r="143" spans="1:18" x14ac:dyDescent="0.25">
      <c r="B143" s="1">
        <v>-6.1026161614248769E-4</v>
      </c>
      <c r="C143" s="1">
        <v>-1.2125099837376027E-9</v>
      </c>
      <c r="D143" s="1">
        <v>3.5070194477335668E-8</v>
      </c>
      <c r="E143" s="1">
        <v>-1.3928279638632705E-10</v>
      </c>
      <c r="F143" s="1">
        <v>1.5222606198850516E-13</v>
      </c>
      <c r="H143" t="s">
        <v>39</v>
      </c>
      <c r="I143" s="1">
        <v>-4.5450922296481622E-3</v>
      </c>
    </row>
    <row r="144" spans="1:18" x14ac:dyDescent="0.25">
      <c r="B144" s="1">
        <v>5.6150877364570253E-6</v>
      </c>
      <c r="C144" s="1">
        <v>3.5070194477336813E-8</v>
      </c>
      <c r="D144" s="1">
        <v>1.4960216262566938E-8</v>
      </c>
      <c r="E144" s="1">
        <v>-8.6699193092356642E-11</v>
      </c>
      <c r="F144" s="1">
        <v>1.2106927143864674E-13</v>
      </c>
      <c r="H144" t="s">
        <v>40</v>
      </c>
      <c r="I144" s="1">
        <v>0.27064548554531598</v>
      </c>
    </row>
    <row r="145" spans="2:9" x14ac:dyDescent="0.25">
      <c r="B145" s="1">
        <v>-1.6795370606508014E-8</v>
      </c>
      <c r="C145" s="1">
        <v>-1.3928279638628543E-10</v>
      </c>
      <c r="D145" s="1">
        <v>-8.6699193092356849E-11</v>
      </c>
      <c r="E145" s="1">
        <v>5.0463699014809406E-13</v>
      </c>
      <c r="F145" s="1">
        <v>-7.0879203800298792E-16</v>
      </c>
      <c r="H145" t="s">
        <v>41</v>
      </c>
      <c r="I145" s="1">
        <v>-8.0420641727385611E-4</v>
      </c>
    </row>
    <row r="146" spans="2:9" x14ac:dyDescent="0.25">
      <c r="B146" s="1">
        <v>1.6375775496319227E-11</v>
      </c>
      <c r="C146" s="1">
        <v>1.5222606198849145E-13</v>
      </c>
      <c r="D146" s="1">
        <v>1.2106927143864705E-13</v>
      </c>
      <c r="E146" s="1">
        <v>-7.0879203800298842E-16</v>
      </c>
      <c r="F146" s="1">
        <v>1.0014458145455729E-18</v>
      </c>
      <c r="H146" t="s">
        <v>42</v>
      </c>
      <c r="I146" s="1">
        <v>7.8157158264063886E-7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Grado 1</vt:lpstr>
      <vt:lpstr>Grado 2</vt:lpstr>
      <vt:lpstr>Grado 3</vt:lpstr>
      <vt:lpstr>Grado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AndresJara</dc:creator>
  <cp:lastModifiedBy>AndresJara</cp:lastModifiedBy>
  <cp:lastPrinted>2015-03-20T02:11:53Z</cp:lastPrinted>
  <dcterms:created xsi:type="dcterms:W3CDTF">2015-03-20T01:08:06Z</dcterms:created>
  <dcterms:modified xsi:type="dcterms:W3CDTF">2015-04-05T16:19:58Z</dcterms:modified>
</cp:coreProperties>
</file>